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9C7F5530-3CA3-4A70-AFCC-46A6BBF201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al" sheetId="1" r:id="rId1"/>
    <sheet name="hasi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h7MMaLXRmnMpNzsMT5KS3Y5i3YMw=="/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6" i="1"/>
  <c r="I7" i="1"/>
  <c r="I8" i="1"/>
  <c r="I9" i="1"/>
  <c r="I10" i="1"/>
  <c r="I11" i="1"/>
  <c r="I12" i="1"/>
  <c r="I5" i="1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0" i="1"/>
  <c r="F11" i="1"/>
  <c r="F12" i="1"/>
  <c r="F5" i="1"/>
  <c r="E6" i="1"/>
  <c r="E7" i="1"/>
  <c r="E8" i="1"/>
  <c r="E9" i="1"/>
  <c r="E10" i="1"/>
  <c r="E11" i="1"/>
  <c r="E12" i="1"/>
  <c r="E5" i="1"/>
  <c r="E5" i="2"/>
  <c r="F5" i="2"/>
  <c r="G5" i="2"/>
  <c r="H5" i="2"/>
  <c r="I5" i="2"/>
  <c r="E6" i="2"/>
  <c r="F6" i="2"/>
  <c r="G6" i="2"/>
  <c r="H6" i="2"/>
  <c r="I6" i="2"/>
  <c r="E7" i="2"/>
  <c r="F7" i="2"/>
  <c r="G7" i="2"/>
  <c r="H7" i="2"/>
  <c r="I7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E12" i="2"/>
  <c r="F12" i="2"/>
  <c r="G12" i="2"/>
  <c r="H12" i="2"/>
  <c r="I12" i="2"/>
  <c r="I16" i="2"/>
  <c r="I15" i="2"/>
  <c r="I14" i="2"/>
  <c r="I13" i="2"/>
</calcChain>
</file>

<file path=xl/sharedStrings.xml><?xml version="1.0" encoding="utf-8"?>
<sst xmlns="http://schemas.openxmlformats.org/spreadsheetml/2006/main" count="68" uniqueCount="36">
  <si>
    <t>DAFTAR UPAH KARYAWAN</t>
  </si>
  <si>
    <t>NO</t>
  </si>
  <si>
    <t>NAMA</t>
  </si>
  <si>
    <t>JAM KERJA</t>
  </si>
  <si>
    <t>JAM LEMBUR</t>
  </si>
  <si>
    <t>UPAH KERJA (KOTOR)</t>
  </si>
  <si>
    <t>UPAH LEMBUR</t>
  </si>
  <si>
    <t>TOTAL UPAH</t>
  </si>
  <si>
    <t>PAJAK</t>
  </si>
  <si>
    <t>TOTAL UPAH (NETTO)</t>
  </si>
  <si>
    <t>MADE ROMANIA</t>
  </si>
  <si>
    <t>PURNAMA</t>
  </si>
  <si>
    <t>ARIANA</t>
  </si>
  <si>
    <t>DWI GITA</t>
  </si>
  <si>
    <t>MAHARIAWAN</t>
  </si>
  <si>
    <t>MAS YOGA</t>
  </si>
  <si>
    <t>WIRANTA</t>
  </si>
  <si>
    <t>SURYA PRADNYANA</t>
  </si>
  <si>
    <t>Total  Upah Seluruh Karyawan</t>
  </si>
  <si>
    <t>Rata-Rata Upah Seluruh Karyawan</t>
  </si>
  <si>
    <t>Upah Tertinggi Karyawan</t>
  </si>
  <si>
    <t>Upah Terendah Karyawan</t>
  </si>
  <si>
    <t>=SUM(I5:I12)</t>
  </si>
  <si>
    <t>=AVERAGE(I5:I12)</t>
  </si>
  <si>
    <t>=MAX(I5:I12)</t>
  </si>
  <si>
    <t>=MIN(I5:I12)</t>
  </si>
  <si>
    <t>Hitung upah kerja (kotor) dari karyawan dimana upah kerja 25000/jam</t>
  </si>
  <si>
    <t>Hitung upah lembur dari karyawan dimana upah lembur 30000/jam</t>
  </si>
  <si>
    <t>Hitung total upah dari masing-masing karyawan</t>
  </si>
  <si>
    <t>Hitung pajak (5%) yang harus dibayarkan masing-masing karyawan</t>
  </si>
  <si>
    <t>Hitung total upah (netto) dari masing-masing karyawan</t>
  </si>
  <si>
    <t>Hitung Total upah seluruh karyawan</t>
  </si>
  <si>
    <t>Hitung rata-rata upah seluruh karyawan</t>
  </si>
  <si>
    <t>Cari nilai upah tertinggi dari karyawan</t>
  </si>
  <si>
    <t>Cari nilai Terendah karyawan</t>
  </si>
  <si>
    <t>BULAN JANUARI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</si>
</sst>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"/>
  </numFmts>
  <fonts count="10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7030A0"/>
      <name val="Calibri"/>
      <family val="2"/>
    </font>
    <font>
      <b/>
      <sz val="11"/>
      <color rgb="FF385623"/>
      <name val="Calibri"/>
      <family val="2"/>
    </font>
    <font>
      <sz val="11"/>
      <color theme="0"/>
      <name val="Verdana"/>
      <family val="18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164" fontId="5" fillId="0" borderId="7" xfId="0" applyNumberFormat="1" applyFont="1" applyBorder="1"/>
    <xf numFmtId="164" fontId="6" fillId="0" borderId="7" xfId="0" applyNumberFormat="1" applyFont="1" applyBorder="1"/>
    <xf numFmtId="164" fontId="3" fillId="0" borderId="7" xfId="0" applyNumberFormat="1" applyFont="1" applyBorder="1"/>
    <xf numFmtId="164" fontId="7" fillId="0" borderId="7" xfId="0" applyNumberFormat="1" applyFont="1" applyBorder="1"/>
    <xf numFmtId="164" fontId="3" fillId="4" borderId="7" xfId="0" applyNumberFormat="1" applyFont="1" applyFill="1" applyBorder="1"/>
    <xf numFmtId="0" fontId="4" fillId="0" borderId="0" xfId="0" applyFont="1"/>
    <xf numFmtId="0" fontId="3" fillId="6" borderId="11" xfId="0" quotePrefix="1" applyFont="1" applyFill="1" applyBorder="1"/>
    <xf numFmtId="0" fontId="3" fillId="4" borderId="11" xfId="0" quotePrefix="1" applyFont="1" applyFill="1" applyBorder="1"/>
    <xf numFmtId="0" fontId="3" fillId="2" borderId="11" xfId="0" quotePrefix="1" applyFont="1" applyFill="1" applyBorder="1"/>
    <xf numFmtId="0" fontId="3" fillId="7" borderId="11" xfId="0" quotePrefix="1" applyFont="1" applyFill="1" applyBorder="1"/>
    <xf numFmtId="0" fontId="8" fillId="8" borderId="0" xfId="0" applyFont="1" applyFill="1" applyAlignment="1">
      <alignment horizontal="right" wrapText="1"/>
    </xf>
    <xf numFmtId="0" fontId="9" fillId="8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5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8" fillId="8" borderId="0" xfId="0" applyFont="1" applyFill="1" applyAlignment="1">
      <alignment horizontal="left" wrapText="1"/>
    </xf>
    <xf numFmtId="0" fontId="8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4" workbookViewId="0">
      <selection activeCell="I17" sqref="I17"/>
    </sheetView>
  </sheetViews>
  <sheetFormatPr defaultColWidth="14.28515625" defaultRowHeight="15" customHeight="1" x14ac:dyDescent="0.25"/>
  <cols>
    <col min="1" max="1" width="4.28515625" customWidth="1"/>
    <col min="2" max="2" width="20.140625" customWidth="1"/>
    <col min="3" max="3" width="19" customWidth="1"/>
    <col min="4" max="4" width="9.85546875" customWidth="1"/>
    <col min="5" max="5" width="18.42578125" customWidth="1"/>
    <col min="6" max="6" width="12.7109375" customWidth="1"/>
    <col min="7" max="7" width="16.42578125" customWidth="1"/>
    <col min="8" max="8" width="11" customWidth="1"/>
    <col min="9" max="9" width="17" customWidth="1"/>
    <col min="10" max="10" width="2.140625" customWidth="1"/>
    <col min="11" max="11" width="14.42578125" customWidth="1"/>
    <col min="12" max="25" width="8.7109375" customWidth="1"/>
  </cols>
  <sheetData>
    <row r="1" spans="1:25" ht="15.75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25" ht="15.75" x14ac:dyDescent="0.25">
      <c r="A2" s="20" t="s">
        <v>35</v>
      </c>
      <c r="B2" s="21"/>
      <c r="C2" s="21"/>
      <c r="D2" s="21"/>
      <c r="E2" s="21"/>
      <c r="F2" s="21"/>
      <c r="G2" s="21"/>
      <c r="H2" s="21"/>
      <c r="I2" s="22"/>
    </row>
    <row r="4" spans="1:25" ht="33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>
        <v>1</v>
      </c>
      <c r="B5" s="3" t="s">
        <v>10</v>
      </c>
      <c r="C5" s="4">
        <v>45</v>
      </c>
      <c r="D5" s="4">
        <v>15</v>
      </c>
      <c r="E5" s="5">
        <f>C5*25000</f>
        <v>1125000</v>
      </c>
      <c r="F5" s="6">
        <f>D5*30000</f>
        <v>450000</v>
      </c>
      <c r="G5" s="7">
        <f>E5+F5</f>
        <v>1575000</v>
      </c>
      <c r="H5" s="8">
        <f>G5*5%</f>
        <v>78750</v>
      </c>
      <c r="I5" s="9">
        <f>G5-H5</f>
        <v>1496250</v>
      </c>
    </row>
    <row r="6" spans="1:25" x14ac:dyDescent="0.25">
      <c r="A6" s="3">
        <v>2</v>
      </c>
      <c r="B6" s="3" t="s">
        <v>11</v>
      </c>
      <c r="C6" s="4">
        <v>48</v>
      </c>
      <c r="D6" s="4">
        <v>17</v>
      </c>
      <c r="E6" s="5">
        <f>C6*25000</f>
        <v>1200000</v>
      </c>
      <c r="F6" s="6">
        <f t="shared" ref="F6:F12" si="0">D6*30000</f>
        <v>510000</v>
      </c>
      <c r="G6" s="7">
        <f t="shared" ref="G6:G12" si="1">E6+F6</f>
        <v>1710000</v>
      </c>
      <c r="H6" s="8">
        <f t="shared" ref="H6:H12" si="2">G6*5%</f>
        <v>85500</v>
      </c>
      <c r="I6" s="9">
        <f t="shared" ref="I6:I12" si="3">G6-H6</f>
        <v>1624500</v>
      </c>
    </row>
    <row r="7" spans="1:25" x14ac:dyDescent="0.25">
      <c r="A7" s="3">
        <v>3</v>
      </c>
      <c r="B7" s="3" t="s">
        <v>12</v>
      </c>
      <c r="C7" s="4">
        <v>47</v>
      </c>
      <c r="D7" s="4">
        <v>16</v>
      </c>
      <c r="E7" s="5">
        <f t="shared" ref="E6:E12" si="4">C7*25000</f>
        <v>1175000</v>
      </c>
      <c r="F7" s="6">
        <f t="shared" si="0"/>
        <v>480000</v>
      </c>
      <c r="G7" s="7">
        <f t="shared" si="1"/>
        <v>1655000</v>
      </c>
      <c r="H7" s="8">
        <f t="shared" si="2"/>
        <v>82750</v>
      </c>
      <c r="I7" s="9">
        <f t="shared" si="3"/>
        <v>1572250</v>
      </c>
    </row>
    <row r="8" spans="1:25" x14ac:dyDescent="0.25">
      <c r="A8" s="3">
        <v>4</v>
      </c>
      <c r="B8" s="3" t="s">
        <v>13</v>
      </c>
      <c r="C8" s="4">
        <v>50</v>
      </c>
      <c r="D8" s="4">
        <v>15</v>
      </c>
      <c r="E8" s="5">
        <f t="shared" si="4"/>
        <v>1250000</v>
      </c>
      <c r="F8" s="6">
        <f t="shared" si="0"/>
        <v>450000</v>
      </c>
      <c r="G8" s="7">
        <f t="shared" si="1"/>
        <v>1700000</v>
      </c>
      <c r="H8" s="8">
        <f t="shared" si="2"/>
        <v>85000</v>
      </c>
      <c r="I8" s="9">
        <f t="shared" si="3"/>
        <v>1615000</v>
      </c>
    </row>
    <row r="9" spans="1:25" x14ac:dyDescent="0.25">
      <c r="A9" s="3">
        <v>5</v>
      </c>
      <c r="B9" s="3" t="s">
        <v>14</v>
      </c>
      <c r="C9" s="4">
        <v>45</v>
      </c>
      <c r="D9" s="4">
        <v>10</v>
      </c>
      <c r="E9" s="5">
        <f t="shared" si="4"/>
        <v>1125000</v>
      </c>
      <c r="F9" s="6">
        <f t="shared" si="0"/>
        <v>300000</v>
      </c>
      <c r="G9" s="7">
        <f t="shared" si="1"/>
        <v>1425000</v>
      </c>
      <c r="H9" s="8">
        <f t="shared" si="2"/>
        <v>71250</v>
      </c>
      <c r="I9" s="9">
        <f t="shared" si="3"/>
        <v>1353750</v>
      </c>
    </row>
    <row r="10" spans="1:25" x14ac:dyDescent="0.25">
      <c r="A10" s="3">
        <v>6</v>
      </c>
      <c r="B10" s="3" t="s">
        <v>15</v>
      </c>
      <c r="C10" s="4">
        <v>44</v>
      </c>
      <c r="D10" s="4">
        <v>12</v>
      </c>
      <c r="E10" s="5">
        <f t="shared" si="4"/>
        <v>1100000</v>
      </c>
      <c r="F10" s="6">
        <f t="shared" si="0"/>
        <v>360000</v>
      </c>
      <c r="G10" s="7">
        <f t="shared" si="1"/>
        <v>1460000</v>
      </c>
      <c r="H10" s="8">
        <f t="shared" si="2"/>
        <v>73000</v>
      </c>
      <c r="I10" s="9">
        <f t="shared" si="3"/>
        <v>1387000</v>
      </c>
    </row>
    <row r="11" spans="1:25" x14ac:dyDescent="0.25">
      <c r="A11" s="3">
        <v>7</v>
      </c>
      <c r="B11" s="3" t="s">
        <v>16</v>
      </c>
      <c r="C11" s="4">
        <v>50</v>
      </c>
      <c r="D11" s="4">
        <v>11</v>
      </c>
      <c r="E11" s="5">
        <f t="shared" si="4"/>
        <v>1250000</v>
      </c>
      <c r="F11" s="6">
        <f t="shared" si="0"/>
        <v>330000</v>
      </c>
      <c r="G11" s="7">
        <f t="shared" si="1"/>
        <v>1580000</v>
      </c>
      <c r="H11" s="8">
        <f t="shared" si="2"/>
        <v>79000</v>
      </c>
      <c r="I11" s="9">
        <f t="shared" si="3"/>
        <v>1501000</v>
      </c>
    </row>
    <row r="12" spans="1:25" x14ac:dyDescent="0.25">
      <c r="A12" s="3">
        <v>8</v>
      </c>
      <c r="B12" s="3" t="s">
        <v>17</v>
      </c>
      <c r="C12" s="4">
        <v>39</v>
      </c>
      <c r="D12" s="4">
        <v>10</v>
      </c>
      <c r="E12" s="5">
        <f t="shared" si="4"/>
        <v>975000</v>
      </c>
      <c r="F12" s="6">
        <f t="shared" si="0"/>
        <v>300000</v>
      </c>
      <c r="G12" s="7">
        <f t="shared" si="1"/>
        <v>1275000</v>
      </c>
      <c r="H12" s="8">
        <f t="shared" si="2"/>
        <v>63750</v>
      </c>
      <c r="I12" s="9">
        <f t="shared" si="3"/>
        <v>1211250</v>
      </c>
      <c r="K12" s="10"/>
    </row>
    <row r="13" spans="1:25" x14ac:dyDescent="0.25">
      <c r="A13" s="23" t="s">
        <v>18</v>
      </c>
      <c r="B13" s="24"/>
      <c r="C13" s="24"/>
      <c r="D13" s="24"/>
      <c r="E13" s="24"/>
      <c r="F13" s="24"/>
      <c r="G13" s="24"/>
      <c r="H13" s="25"/>
      <c r="I13" s="9">
        <f>SUM(I5:I12)</f>
        <v>11761000</v>
      </c>
      <c r="K13" s="10"/>
    </row>
    <row r="14" spans="1:25" x14ac:dyDescent="0.25">
      <c r="A14" s="23" t="s">
        <v>19</v>
      </c>
      <c r="B14" s="24"/>
      <c r="C14" s="24"/>
      <c r="D14" s="24"/>
      <c r="E14" s="24"/>
      <c r="F14" s="24"/>
      <c r="G14" s="24"/>
      <c r="H14" s="25"/>
      <c r="I14" s="9">
        <f>AVERAGE(I5:I12)</f>
        <v>1470125</v>
      </c>
      <c r="K14" s="10"/>
    </row>
    <row r="15" spans="1:25" x14ac:dyDescent="0.25">
      <c r="A15" s="23" t="s">
        <v>20</v>
      </c>
      <c r="B15" s="24"/>
      <c r="C15" s="24"/>
      <c r="D15" s="24"/>
      <c r="E15" s="24"/>
      <c r="F15" s="24"/>
      <c r="G15" s="24"/>
      <c r="H15" s="25"/>
      <c r="I15" s="9">
        <f>MAX(I5:I12)</f>
        <v>1624500</v>
      </c>
      <c r="K15" s="10"/>
    </row>
    <row r="16" spans="1:25" x14ac:dyDescent="0.25">
      <c r="A16" s="23" t="s">
        <v>21</v>
      </c>
      <c r="B16" s="24"/>
      <c r="C16" s="24"/>
      <c r="D16" s="24"/>
      <c r="E16" s="24"/>
      <c r="F16" s="24"/>
      <c r="G16" s="24"/>
      <c r="H16" s="25"/>
      <c r="I16" s="9">
        <f>MIN(I5:I12)</f>
        <v>1211250</v>
      </c>
      <c r="K16" s="10"/>
    </row>
    <row r="19" spans="2:8" ht="15" customHeight="1" x14ac:dyDescent="0.25">
      <c r="B19" s="15">
        <v>1</v>
      </c>
      <c r="C19" s="26" t="s">
        <v>26</v>
      </c>
      <c r="D19" s="26"/>
      <c r="E19" s="26"/>
      <c r="F19" s="26"/>
      <c r="G19" s="26"/>
      <c r="H19" s="26"/>
    </row>
    <row r="20" spans="2:8" ht="15" customHeight="1" x14ac:dyDescent="0.25">
      <c r="B20" s="15">
        <v>2</v>
      </c>
      <c r="C20" s="26" t="s">
        <v>27</v>
      </c>
      <c r="D20" s="26"/>
      <c r="E20" s="26"/>
      <c r="F20" s="26"/>
      <c r="G20" s="26"/>
      <c r="H20" s="16"/>
    </row>
    <row r="21" spans="2:8" ht="15.75" customHeight="1" x14ac:dyDescent="0.25">
      <c r="B21" s="15">
        <v>3</v>
      </c>
      <c r="C21" s="26" t="s">
        <v>28</v>
      </c>
      <c r="D21" s="26"/>
      <c r="E21" s="26"/>
      <c r="F21" s="26"/>
      <c r="G21" s="26"/>
      <c r="H21" s="16"/>
    </row>
    <row r="22" spans="2:8" ht="15.75" customHeight="1" x14ac:dyDescent="0.25">
      <c r="B22" s="15">
        <v>4</v>
      </c>
      <c r="C22" s="26" t="s">
        <v>29</v>
      </c>
      <c r="D22" s="26"/>
      <c r="E22" s="26"/>
      <c r="F22" s="26"/>
      <c r="G22" s="26"/>
      <c r="H22" s="16"/>
    </row>
    <row r="23" spans="2:8" ht="15.75" customHeight="1" x14ac:dyDescent="0.25">
      <c r="B23" s="15">
        <v>5</v>
      </c>
      <c r="C23" s="27" t="s">
        <v>30</v>
      </c>
      <c r="D23" s="27"/>
      <c r="E23" s="27"/>
      <c r="F23" s="27"/>
      <c r="G23" s="27"/>
      <c r="H23" s="16"/>
    </row>
    <row r="24" spans="2:8" ht="15.75" customHeight="1" x14ac:dyDescent="0.25">
      <c r="B24" s="15">
        <v>6</v>
      </c>
      <c r="C24" s="26" t="s">
        <v>31</v>
      </c>
      <c r="D24" s="26"/>
      <c r="E24" s="26"/>
      <c r="F24" s="26"/>
      <c r="G24" s="26"/>
      <c r="H24" s="16"/>
    </row>
    <row r="25" spans="2:8" ht="15.75" customHeight="1" x14ac:dyDescent="0.25">
      <c r="B25" s="15">
        <v>7</v>
      </c>
      <c r="C25" s="26" t="s">
        <v>32</v>
      </c>
      <c r="D25" s="26"/>
      <c r="E25" s="26"/>
      <c r="F25" s="26"/>
      <c r="G25" s="26"/>
      <c r="H25" s="16"/>
    </row>
    <row r="26" spans="2:8" ht="15.75" customHeight="1" x14ac:dyDescent="0.25">
      <c r="B26" s="15">
        <v>8</v>
      </c>
      <c r="C26" s="26" t="s">
        <v>33</v>
      </c>
      <c r="D26" s="26"/>
      <c r="E26" s="26"/>
      <c r="F26" s="26"/>
      <c r="G26" s="26"/>
      <c r="H26" s="16"/>
    </row>
    <row r="27" spans="2:8" ht="15.75" customHeight="1" x14ac:dyDescent="0.25">
      <c r="B27" s="15">
        <v>9</v>
      </c>
      <c r="C27" s="26" t="s">
        <v>34</v>
      </c>
      <c r="D27" s="26"/>
      <c r="E27" s="26"/>
      <c r="F27" s="26"/>
      <c r="G27" s="26"/>
      <c r="H27" s="16"/>
    </row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C23:G23"/>
    <mergeCell ref="C24:G24"/>
    <mergeCell ref="C25:G25"/>
    <mergeCell ref="C26:G26"/>
    <mergeCell ref="C27:G27"/>
    <mergeCell ref="A16:H16"/>
    <mergeCell ref="C19:H19"/>
    <mergeCell ref="C20:G20"/>
    <mergeCell ref="C21:G21"/>
    <mergeCell ref="C22:G22"/>
    <mergeCell ref="A1:I1"/>
    <mergeCell ref="A2:I2"/>
    <mergeCell ref="A13:H13"/>
    <mergeCell ref="A14:H14"/>
    <mergeCell ref="A15:H1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K27" sqref="K27"/>
    </sheetView>
  </sheetViews>
  <sheetFormatPr defaultColWidth="14.28515625" defaultRowHeight="15" customHeight="1" x14ac:dyDescent="0.25"/>
  <cols>
    <col min="1" max="1" width="4.28515625" customWidth="1"/>
    <col min="2" max="2" width="20.140625" customWidth="1"/>
    <col min="3" max="3" width="9.140625" customWidth="1"/>
    <col min="4" max="4" width="9.85546875" customWidth="1"/>
    <col min="5" max="5" width="18.42578125" customWidth="1"/>
    <col min="6" max="6" width="12.7109375" customWidth="1"/>
    <col min="7" max="7" width="16.42578125" customWidth="1"/>
    <col min="8" max="8" width="11" customWidth="1"/>
    <col min="9" max="9" width="17" customWidth="1"/>
    <col min="10" max="10" width="2.140625" customWidth="1"/>
    <col min="11" max="11" width="17" customWidth="1"/>
    <col min="12" max="12" width="14.42578125" customWidth="1"/>
    <col min="13" max="26" width="8.7109375" customWidth="1"/>
  </cols>
  <sheetData>
    <row r="1" spans="1:26" ht="15.75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26" ht="15.75" x14ac:dyDescent="0.25">
      <c r="A2" s="20" t="s">
        <v>35</v>
      </c>
      <c r="B2" s="21"/>
      <c r="C2" s="21"/>
      <c r="D2" s="21"/>
      <c r="E2" s="21"/>
      <c r="F2" s="21"/>
      <c r="G2" s="21"/>
      <c r="H2" s="21"/>
      <c r="I2" s="22"/>
    </row>
    <row r="4" spans="1:26" ht="33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>
        <v>1</v>
      </c>
      <c r="B5" s="3" t="s">
        <v>10</v>
      </c>
      <c r="C5" s="4">
        <v>45</v>
      </c>
      <c r="D5" s="4">
        <v>15</v>
      </c>
      <c r="E5" s="5">
        <f t="shared" ref="E5:E12" si="0">C5*25000</f>
        <v>1125000</v>
      </c>
      <c r="F5" s="6">
        <f t="shared" ref="F5:F12" si="1">D5*30000</f>
        <v>450000</v>
      </c>
      <c r="G5" s="7">
        <f t="shared" ref="G5:G12" si="2">E5+F5</f>
        <v>1575000</v>
      </c>
      <c r="H5" s="8">
        <f t="shared" ref="H5:H12" si="3">G5*5%</f>
        <v>78750</v>
      </c>
      <c r="I5" s="9">
        <f t="shared" ref="I5:I12" si="4">G5-H5</f>
        <v>1496250</v>
      </c>
    </row>
    <row r="6" spans="1:26" x14ac:dyDescent="0.25">
      <c r="A6" s="3">
        <v>2</v>
      </c>
      <c r="B6" s="3" t="s">
        <v>11</v>
      </c>
      <c r="C6" s="4">
        <v>48</v>
      </c>
      <c r="D6" s="4">
        <v>17</v>
      </c>
      <c r="E6" s="5">
        <f t="shared" si="0"/>
        <v>1200000</v>
      </c>
      <c r="F6" s="6">
        <f t="shared" si="1"/>
        <v>510000</v>
      </c>
      <c r="G6" s="7">
        <f t="shared" si="2"/>
        <v>1710000</v>
      </c>
      <c r="H6" s="8">
        <f t="shared" si="3"/>
        <v>85500</v>
      </c>
      <c r="I6" s="9">
        <f t="shared" si="4"/>
        <v>1624500</v>
      </c>
    </row>
    <row r="7" spans="1:26" x14ac:dyDescent="0.25">
      <c r="A7" s="3">
        <v>3</v>
      </c>
      <c r="B7" s="3" t="s">
        <v>12</v>
      </c>
      <c r="C7" s="4">
        <v>47</v>
      </c>
      <c r="D7" s="4">
        <v>16</v>
      </c>
      <c r="E7" s="5">
        <f t="shared" si="0"/>
        <v>1175000</v>
      </c>
      <c r="F7" s="6">
        <f t="shared" si="1"/>
        <v>480000</v>
      </c>
      <c r="G7" s="7">
        <f t="shared" si="2"/>
        <v>1655000</v>
      </c>
      <c r="H7" s="8">
        <f t="shared" si="3"/>
        <v>82750</v>
      </c>
      <c r="I7" s="9">
        <f t="shared" si="4"/>
        <v>1572250</v>
      </c>
    </row>
    <row r="8" spans="1:26" x14ac:dyDescent="0.25">
      <c r="A8" s="3">
        <v>4</v>
      </c>
      <c r="B8" s="3" t="s">
        <v>13</v>
      </c>
      <c r="C8" s="4">
        <v>50</v>
      </c>
      <c r="D8" s="4">
        <v>15</v>
      </c>
      <c r="E8" s="5">
        <f t="shared" si="0"/>
        <v>1250000</v>
      </c>
      <c r="F8" s="6">
        <f t="shared" si="1"/>
        <v>450000</v>
      </c>
      <c r="G8" s="7">
        <f t="shared" si="2"/>
        <v>1700000</v>
      </c>
      <c r="H8" s="8">
        <f t="shared" si="3"/>
        <v>85000</v>
      </c>
      <c r="I8" s="9">
        <f t="shared" si="4"/>
        <v>1615000</v>
      </c>
    </row>
    <row r="9" spans="1:26" x14ac:dyDescent="0.25">
      <c r="A9" s="3">
        <v>5</v>
      </c>
      <c r="B9" s="3" t="s">
        <v>14</v>
      </c>
      <c r="C9" s="4">
        <v>45</v>
      </c>
      <c r="D9" s="4">
        <v>10</v>
      </c>
      <c r="E9" s="5">
        <f t="shared" si="0"/>
        <v>1125000</v>
      </c>
      <c r="F9" s="6">
        <f t="shared" si="1"/>
        <v>300000</v>
      </c>
      <c r="G9" s="7">
        <f t="shared" si="2"/>
        <v>1425000</v>
      </c>
      <c r="H9" s="8">
        <f t="shared" si="3"/>
        <v>71250</v>
      </c>
      <c r="I9" s="9">
        <f t="shared" si="4"/>
        <v>1353750</v>
      </c>
    </row>
    <row r="10" spans="1:26" x14ac:dyDescent="0.25">
      <c r="A10" s="3">
        <v>6</v>
      </c>
      <c r="B10" s="3" t="s">
        <v>15</v>
      </c>
      <c r="C10" s="4">
        <v>44</v>
      </c>
      <c r="D10" s="4">
        <v>12</v>
      </c>
      <c r="E10" s="5">
        <f t="shared" si="0"/>
        <v>1100000</v>
      </c>
      <c r="F10" s="6">
        <f t="shared" si="1"/>
        <v>360000</v>
      </c>
      <c r="G10" s="7">
        <f t="shared" si="2"/>
        <v>1460000</v>
      </c>
      <c r="H10" s="8">
        <f t="shared" si="3"/>
        <v>73000</v>
      </c>
      <c r="I10" s="9">
        <f t="shared" si="4"/>
        <v>1387000</v>
      </c>
    </row>
    <row r="11" spans="1:26" x14ac:dyDescent="0.25">
      <c r="A11" s="3">
        <v>7</v>
      </c>
      <c r="B11" s="3" t="s">
        <v>16</v>
      </c>
      <c r="C11" s="4">
        <v>50</v>
      </c>
      <c r="D11" s="4">
        <v>11</v>
      </c>
      <c r="E11" s="5">
        <f t="shared" si="0"/>
        <v>1250000</v>
      </c>
      <c r="F11" s="6">
        <f t="shared" si="1"/>
        <v>330000</v>
      </c>
      <c r="G11" s="7">
        <f t="shared" si="2"/>
        <v>1580000</v>
      </c>
      <c r="H11" s="8">
        <f t="shared" si="3"/>
        <v>79000</v>
      </c>
      <c r="I11" s="9">
        <f t="shared" si="4"/>
        <v>1501000</v>
      </c>
    </row>
    <row r="12" spans="1:26" x14ac:dyDescent="0.25">
      <c r="A12" s="3">
        <v>8</v>
      </c>
      <c r="B12" s="3" t="s">
        <v>17</v>
      </c>
      <c r="C12" s="4">
        <v>39</v>
      </c>
      <c r="D12" s="4">
        <v>10</v>
      </c>
      <c r="E12" s="5">
        <f t="shared" si="0"/>
        <v>975000</v>
      </c>
      <c r="F12" s="6">
        <f t="shared" si="1"/>
        <v>300000</v>
      </c>
      <c r="G12" s="7">
        <f t="shared" si="2"/>
        <v>1275000</v>
      </c>
      <c r="H12" s="8">
        <f t="shared" si="3"/>
        <v>63750</v>
      </c>
      <c r="I12" s="9">
        <f t="shared" si="4"/>
        <v>1211250</v>
      </c>
      <c r="L12" s="10"/>
    </row>
    <row r="13" spans="1:26" x14ac:dyDescent="0.25">
      <c r="A13" s="23" t="s">
        <v>18</v>
      </c>
      <c r="B13" s="24"/>
      <c r="C13" s="24"/>
      <c r="D13" s="24"/>
      <c r="E13" s="24"/>
      <c r="F13" s="24"/>
      <c r="G13" s="24"/>
      <c r="H13" s="25"/>
      <c r="I13" s="9">
        <f>SUM(I5:I12)</f>
        <v>11761000</v>
      </c>
      <c r="K13" s="11" t="s">
        <v>22</v>
      </c>
      <c r="L13" s="10"/>
    </row>
    <row r="14" spans="1:26" x14ac:dyDescent="0.25">
      <c r="A14" s="23" t="s">
        <v>19</v>
      </c>
      <c r="B14" s="24"/>
      <c r="C14" s="24"/>
      <c r="D14" s="24"/>
      <c r="E14" s="24"/>
      <c r="F14" s="24"/>
      <c r="G14" s="24"/>
      <c r="H14" s="25"/>
      <c r="I14" s="9">
        <f>AVERAGE(I5:I12)</f>
        <v>1470125</v>
      </c>
      <c r="K14" s="12" t="s">
        <v>23</v>
      </c>
      <c r="L14" s="10"/>
    </row>
    <row r="15" spans="1:26" x14ac:dyDescent="0.25">
      <c r="A15" s="23" t="s">
        <v>20</v>
      </c>
      <c r="B15" s="24"/>
      <c r="C15" s="24"/>
      <c r="D15" s="24"/>
      <c r="E15" s="24"/>
      <c r="F15" s="24"/>
      <c r="G15" s="24"/>
      <c r="H15" s="25"/>
      <c r="I15" s="9">
        <f>MAX(I5:I12)</f>
        <v>1624500</v>
      </c>
      <c r="K15" s="13" t="s">
        <v>24</v>
      </c>
      <c r="L15" s="10"/>
    </row>
    <row r="16" spans="1:26" x14ac:dyDescent="0.25">
      <c r="A16" s="23" t="s">
        <v>21</v>
      </c>
      <c r="B16" s="24"/>
      <c r="C16" s="24"/>
      <c r="D16" s="24"/>
      <c r="E16" s="24"/>
      <c r="F16" s="24"/>
      <c r="G16" s="24"/>
      <c r="H16" s="25"/>
      <c r="I16" s="9">
        <f>MIN(I5:I12)</f>
        <v>1211250</v>
      </c>
      <c r="K16" s="14" t="s">
        <v>25</v>
      </c>
      <c r="L16" s="10"/>
    </row>
    <row r="19" spans="2:8" ht="15" customHeight="1" x14ac:dyDescent="0.25">
      <c r="B19" s="15">
        <v>1</v>
      </c>
      <c r="C19" s="26" t="s">
        <v>26</v>
      </c>
      <c r="D19" s="26"/>
      <c r="E19" s="26"/>
      <c r="F19" s="26"/>
      <c r="G19" s="26"/>
      <c r="H19" s="26"/>
    </row>
    <row r="20" spans="2:8" ht="15" customHeight="1" x14ac:dyDescent="0.25">
      <c r="B20" s="15">
        <v>2</v>
      </c>
      <c r="C20" s="26" t="s">
        <v>27</v>
      </c>
      <c r="D20" s="26"/>
      <c r="E20" s="26"/>
      <c r="F20" s="26"/>
      <c r="G20" s="26"/>
      <c r="H20" s="16"/>
    </row>
    <row r="21" spans="2:8" ht="15.75" customHeight="1" x14ac:dyDescent="0.25">
      <c r="B21" s="15">
        <v>3</v>
      </c>
      <c r="C21" s="26" t="s">
        <v>28</v>
      </c>
      <c r="D21" s="26"/>
      <c r="E21" s="26"/>
      <c r="F21" s="26"/>
      <c r="G21" s="26"/>
      <c r="H21" s="16"/>
    </row>
    <row r="22" spans="2:8" ht="15.75" customHeight="1" x14ac:dyDescent="0.25">
      <c r="B22" s="15">
        <v>4</v>
      </c>
      <c r="C22" s="26" t="s">
        <v>29</v>
      </c>
      <c r="D22" s="26"/>
      <c r="E22" s="26"/>
      <c r="F22" s="26"/>
      <c r="G22" s="26"/>
      <c r="H22" s="16"/>
    </row>
    <row r="23" spans="2:8" ht="15.75" customHeight="1" x14ac:dyDescent="0.25">
      <c r="B23" s="15">
        <v>5</v>
      </c>
      <c r="C23" s="27" t="s">
        <v>30</v>
      </c>
      <c r="D23" s="27"/>
      <c r="E23" s="27"/>
      <c r="F23" s="27"/>
      <c r="G23" s="27"/>
      <c r="H23" s="16"/>
    </row>
    <row r="24" spans="2:8" ht="15.75" customHeight="1" x14ac:dyDescent="0.25">
      <c r="B24" s="15">
        <v>6</v>
      </c>
      <c r="C24" s="26" t="s">
        <v>31</v>
      </c>
      <c r="D24" s="26"/>
      <c r="E24" s="26"/>
      <c r="F24" s="26"/>
      <c r="G24" s="26"/>
      <c r="H24" s="16"/>
    </row>
    <row r="25" spans="2:8" ht="15.75" customHeight="1" x14ac:dyDescent="0.25">
      <c r="B25" s="15">
        <v>7</v>
      </c>
      <c r="C25" s="26" t="s">
        <v>32</v>
      </c>
      <c r="D25" s="26"/>
      <c r="E25" s="26"/>
      <c r="F25" s="26"/>
      <c r="G25" s="26"/>
      <c r="H25" s="16"/>
    </row>
    <row r="26" spans="2:8" ht="15.75" customHeight="1" x14ac:dyDescent="0.25">
      <c r="B26" s="15">
        <v>8</v>
      </c>
      <c r="C26" s="26" t="s">
        <v>33</v>
      </c>
      <c r="D26" s="26"/>
      <c r="E26" s="26"/>
      <c r="F26" s="26"/>
      <c r="G26" s="26"/>
      <c r="H26" s="16"/>
    </row>
    <row r="27" spans="2:8" ht="15.75" customHeight="1" x14ac:dyDescent="0.25">
      <c r="B27" s="15">
        <v>9</v>
      </c>
      <c r="C27" s="26" t="s">
        <v>34</v>
      </c>
      <c r="D27" s="26"/>
      <c r="E27" s="26"/>
      <c r="F27" s="26"/>
      <c r="G27" s="26"/>
      <c r="H27" s="16"/>
    </row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C23:G23"/>
    <mergeCell ref="C24:G24"/>
    <mergeCell ref="C25:G25"/>
    <mergeCell ref="C26:G26"/>
    <mergeCell ref="C27:G27"/>
    <mergeCell ref="A16:H16"/>
    <mergeCell ref="C19:H19"/>
    <mergeCell ref="C20:G20"/>
    <mergeCell ref="C21:G21"/>
    <mergeCell ref="C22:G22"/>
    <mergeCell ref="A1:I1"/>
    <mergeCell ref="A2:I2"/>
    <mergeCell ref="A13:H13"/>
    <mergeCell ref="A14:H14"/>
    <mergeCell ref="A15:H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Undo</dc:creator>
  <cp:lastModifiedBy>Sabita Hanun</cp:lastModifiedBy>
  <dcterms:created xsi:type="dcterms:W3CDTF">2023-01-29T01:21:48Z</dcterms:created>
  <dcterms:modified xsi:type="dcterms:W3CDTF">2026-09-29T08:17:35Z</dcterms:modified>
</cp:coreProperties>
</file>