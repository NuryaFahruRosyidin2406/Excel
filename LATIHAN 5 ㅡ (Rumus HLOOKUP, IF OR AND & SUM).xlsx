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9C0823F0-7F2C-45A5-9431-2193425D7116/Library/Application Support/Drafts/"/>
    </mc:Choice>
  </mc:AlternateContent>
  <xr:revisionPtr revIDLastSave="0" documentId="8_{C23E221C-0F93-9943-A453-DC464A31A8AF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SOAL" sheetId="2" r:id="rId1"/>
    <sheet name="JAWABAN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21" i="1"/>
  <c r="E22" i="1"/>
  <c r="E20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N5" i="1"/>
  <c r="N6" i="1"/>
  <c r="N7" i="1"/>
  <c r="N8" i="1"/>
  <c r="N9" i="1"/>
  <c r="N10" i="1"/>
  <c r="N11" i="1"/>
  <c r="N12" i="1"/>
  <c r="N13" i="1"/>
  <c r="N14" i="1"/>
  <c r="N15" i="1"/>
  <c r="N16" i="1"/>
  <c r="N4" i="1"/>
  <c r="L5" i="1"/>
  <c r="L6" i="1"/>
  <c r="L7" i="1"/>
  <c r="L8" i="1"/>
  <c r="L9" i="1"/>
  <c r="L10" i="1"/>
  <c r="L11" i="1"/>
  <c r="L12" i="1"/>
  <c r="L13" i="1"/>
  <c r="L14" i="1"/>
  <c r="L15" i="1"/>
  <c r="L16" i="1"/>
  <c r="L4" i="1"/>
  <c r="K5" i="1"/>
  <c r="K6" i="1"/>
  <c r="K7" i="1"/>
  <c r="K8" i="1"/>
  <c r="K9" i="1"/>
  <c r="K10" i="1"/>
  <c r="K11" i="1"/>
  <c r="K12" i="1"/>
  <c r="K13" i="1"/>
  <c r="K14" i="1"/>
  <c r="K15" i="1"/>
  <c r="K16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4" i="1"/>
  <c r="O4" i="1"/>
  <c r="D16" i="1"/>
  <c r="G16" i="1"/>
  <c r="H16" i="1"/>
  <c r="D5" i="1"/>
  <c r="G5" i="1"/>
  <c r="H5" i="1"/>
  <c r="D4" i="1"/>
  <c r="H4" i="1"/>
  <c r="M4" i="1"/>
  <c r="I4" i="1"/>
  <c r="D6" i="1"/>
  <c r="D7" i="1"/>
  <c r="D8" i="1"/>
  <c r="D9" i="1"/>
  <c r="D10" i="1"/>
  <c r="D11" i="1"/>
  <c r="D12" i="1"/>
  <c r="D13" i="1"/>
  <c r="D14" i="1"/>
  <c r="D15" i="1"/>
  <c r="O16" i="1"/>
  <c r="O6" i="1"/>
  <c r="O7" i="1"/>
  <c r="G8" i="1"/>
  <c r="H8" i="1"/>
  <c r="O8" i="1"/>
  <c r="G9" i="1"/>
  <c r="H9" i="1"/>
  <c r="O9" i="1"/>
  <c r="G10" i="1"/>
  <c r="H10" i="1"/>
  <c r="O10" i="1"/>
  <c r="O11" i="1"/>
  <c r="G12" i="1"/>
  <c r="H12" i="1"/>
  <c r="O12" i="1"/>
  <c r="G13" i="1"/>
  <c r="H13" i="1"/>
  <c r="O13" i="1"/>
  <c r="O14" i="1"/>
  <c r="O15" i="1"/>
  <c r="O5" i="1"/>
  <c r="G6" i="1"/>
  <c r="H6" i="1"/>
  <c r="G7" i="1"/>
  <c r="H7" i="1"/>
  <c r="G11" i="1"/>
  <c r="H11" i="1"/>
  <c r="G14" i="1"/>
  <c r="H14" i="1"/>
  <c r="G15" i="1"/>
  <c r="H15" i="1"/>
  <c r="M5" i="1"/>
  <c r="M6" i="1"/>
  <c r="M7" i="1"/>
  <c r="M8" i="1"/>
  <c r="M9" i="1"/>
  <c r="M10" i="1"/>
  <c r="M11" i="1"/>
  <c r="M12" i="1"/>
  <c r="M13" i="1"/>
  <c r="M14" i="1"/>
  <c r="M15" i="1"/>
  <c r="M16" i="1"/>
  <c r="I5" i="1"/>
  <c r="I6" i="1"/>
  <c r="I7" i="1"/>
  <c r="I8" i="1"/>
  <c r="I9" i="1"/>
  <c r="I10" i="1"/>
  <c r="I11" i="1"/>
  <c r="I12" i="1"/>
  <c r="I13" i="1"/>
  <c r="I14" i="1"/>
  <c r="I15" i="1"/>
  <c r="I16" i="1"/>
</calcChain>
</file>

<file path=xl/sharedStrings.xml><?xml version="1.0" encoding="utf-8"?>
<sst xmlns="http://schemas.openxmlformats.org/spreadsheetml/2006/main" count="169" uniqueCount="71">
  <si>
    <t>DAFTAR PENERIMA GAJI PT. BYMYA HIJAB</t>
  </si>
  <si>
    <t>NO</t>
  </si>
  <si>
    <t>NIP</t>
  </si>
  <si>
    <t>NAMA</t>
  </si>
  <si>
    <t>STATUS</t>
  </si>
  <si>
    <t>UNIT</t>
  </si>
  <si>
    <t>GAJI POKOK</t>
  </si>
  <si>
    <t>TUNJANGAN RESIKO</t>
  </si>
  <si>
    <t>TUNJANGAN UNIT</t>
  </si>
  <si>
    <t>TUNJANGAN KHUSUS</t>
  </si>
  <si>
    <t>PERUMAHAN</t>
  </si>
  <si>
    <t>TUNJANGAN ISTRI</t>
  </si>
  <si>
    <t>TUNJANGAN ANAK</t>
  </si>
  <si>
    <t>RIAN</t>
  </si>
  <si>
    <t>WAHYU</t>
  </si>
  <si>
    <t>ANDI</t>
  </si>
  <si>
    <t>SULIS</t>
  </si>
  <si>
    <t>LINTANG</t>
  </si>
  <si>
    <t>DYLAN</t>
  </si>
  <si>
    <t>RAHMAD</t>
  </si>
  <si>
    <t>L</t>
  </si>
  <si>
    <t>K</t>
  </si>
  <si>
    <t>MARKETING</t>
  </si>
  <si>
    <t>FINANCIAL</t>
  </si>
  <si>
    <t>SDM</t>
  </si>
  <si>
    <t>PRODUKSI</t>
  </si>
  <si>
    <t>JUMLAH KARYAWAN UNIT PRODUKSI</t>
  </si>
  <si>
    <t>JUMLAH KARYAWAN UNIT MARKETING</t>
  </si>
  <si>
    <t>JUMLAH KARYAWAN UNIT FINANCIAL</t>
  </si>
  <si>
    <t>JUMLAH KARYAWAN UNIT SDM</t>
  </si>
  <si>
    <t>GUNAKAN RUMUS SUMIF DAN COUNTIF</t>
  </si>
  <si>
    <t>TOTAL ORANG</t>
  </si>
  <si>
    <t>KODE</t>
  </si>
  <si>
    <t>P</t>
  </si>
  <si>
    <t>M</t>
  </si>
  <si>
    <t>F</t>
  </si>
  <si>
    <t>S</t>
  </si>
  <si>
    <t>Soal :</t>
  </si>
  <si>
    <t>1. Isi Unit Dengan ketentuan jika digit kesepuluh dari NIP dengan menggunakan tabel Hlookup</t>
  </si>
  <si>
    <t>3. Isi tunjangan khusus dengan ketentuan 10% di kali gaji dasar kecuali unit marketing 20% di kali gaji dasar</t>
  </si>
  <si>
    <t>4. Tunjangan transport diberikan ke semua unit 1.500.000, kecuali unit sdm 2.000,000</t>
  </si>
  <si>
    <t>5. Perumahan diberikan kepada semua karyawan dengan kriteria , jika status K maka dapat perumahan 2,000,000 selain itu 1,000,000</t>
  </si>
  <si>
    <t>6. Tunjangan istri diberikan kepada karyawan jenis kelamin Laki2 (L) dengan status K(kawin), maka tunjangan istri 5% dari gaji dasar</t>
  </si>
  <si>
    <t>JUMLAH
 ANAK</t>
  </si>
  <si>
    <t xml:space="preserve">JENIS
KELAMIN </t>
  </si>
  <si>
    <t>TOTAL GAJI
 SEBELUM PAJAK</t>
  </si>
  <si>
    <t>011350001P</t>
  </si>
  <si>
    <t>021050002M</t>
  </si>
  <si>
    <t>030950003F</t>
  </si>
  <si>
    <t>041150004M</t>
  </si>
  <si>
    <t>011330005S</t>
  </si>
  <si>
    <t>031230006P</t>
  </si>
  <si>
    <t>010813001M</t>
  </si>
  <si>
    <t>010730002S</t>
  </si>
  <si>
    <t>040830003M</t>
  </si>
  <si>
    <t>020630004F</t>
  </si>
  <si>
    <t>011330005M</t>
  </si>
  <si>
    <t>041350006P</t>
  </si>
  <si>
    <t>041350098S</t>
  </si>
  <si>
    <t>8. Tunjangan anak diberikan 2% dikali gaji dasar setiap anak dan jumlah anak maksimal 3 dan status K(KAWIN)</t>
  </si>
  <si>
    <t>7. Isi jenis kelamin dengan ketentuan jika digit ketiga dari NIP =1 maka jenis kelamin "Pria", jika =0, jenis kelamin "Wanita"</t>
  </si>
  <si>
    <t>MELA</t>
  </si>
  <si>
    <t>YOGA</t>
  </si>
  <si>
    <t>SINTA</t>
  </si>
  <si>
    <t>WIDYA</t>
  </si>
  <si>
    <t>ADRIYAN</t>
  </si>
  <si>
    <t>REZA</t>
  </si>
  <si>
    <t>TUNJANGAN TRANSPORT</t>
  </si>
  <si>
    <t>2. Isi tunjangan unit dengan ketentuan 30% dari gaji dasar jika unit produksi, financial</t>
  </si>
  <si>
    <t xml:space="preserve">9. Total gaji sebelum pajak = gaji pokok + tunjangan resiko + tunjangan unit + tunjangan transport + tunjangan khusus + perumahan +  tunjangan istri + tunjangan anak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</si>
</sst>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4" x14ac:knownFonts="1">
    <font>
      <sz val="11"/>
      <color theme="1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b/>
      <sz val="16"/>
      <color theme="0"/>
      <name val="Aptos Narrow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/>
    <xf numFmtId="0" fontId="2" fillId="0" borderId="1" xfId="0" applyFont="1" applyBorder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0" borderId="5" xfId="0" applyBorder="1" applyAlignment="1">
      <alignment horizontal="center" vertical="center"/>
    </xf>
    <xf numFmtId="0" fontId="0" fillId="0" borderId="0" xfId="0" applyBorder="1"/>
    <xf numFmtId="0" fontId="0" fillId="0" borderId="2" xfId="0" applyBorder="1" applyAlignment="1">
      <alignment horizontal="center" vertical="center"/>
    </xf>
    <xf numFmtId="0" fontId="0" fillId="0" borderId="0" xfId="0" applyFont="1"/>
    <xf numFmtId="0" fontId="3" fillId="3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1B1E-BF2A-EC4D-B3B8-F37F9333253D}">
  <dimension ref="A1:R40"/>
  <sheetViews>
    <sheetView zoomScaleNormal="150" zoomScaleSheetLayoutView="100" workbookViewId="0">
      <selection activeCell="K29" sqref="K29"/>
    </sheetView>
  </sheetViews>
  <sheetFormatPr defaultRowHeight="15" x14ac:dyDescent="0.2"/>
  <cols>
    <col min="1" max="1" width="5.78125" style="3" customWidth="1"/>
    <col min="2" max="2" width="20.84765625" customWidth="1"/>
    <col min="3" max="3" width="14.390625" customWidth="1"/>
    <col min="4" max="4" width="15.33203125" customWidth="1"/>
    <col min="5" max="5" width="14.125" customWidth="1"/>
    <col min="6" max="6" width="15.33203125" customWidth="1"/>
    <col min="7" max="7" width="12.64453125" customWidth="1"/>
    <col min="8" max="8" width="14.2578125" customWidth="1"/>
    <col min="9" max="9" width="18.29296875" customWidth="1"/>
    <col min="10" max="10" width="17.62109375" customWidth="1"/>
    <col min="11" max="11" width="22.8671875" customWidth="1"/>
    <col min="12" max="12" width="18.6953125" customWidth="1"/>
    <col min="13" max="13" width="17.3515625" customWidth="1"/>
    <col min="14" max="14" width="16.0078125" customWidth="1"/>
    <col min="15" max="15" width="17.62109375" customWidth="1"/>
    <col min="16" max="16" width="18.4296875" customWidth="1"/>
  </cols>
  <sheetData>
    <row r="1" spans="1:18" ht="21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3" spans="1:18" ht="27.75" x14ac:dyDescent="0.2">
      <c r="A3" s="8" t="s">
        <v>1</v>
      </c>
      <c r="B3" s="8" t="s">
        <v>2</v>
      </c>
      <c r="C3" s="8" t="s">
        <v>3</v>
      </c>
      <c r="D3" s="9" t="s">
        <v>44</v>
      </c>
      <c r="E3" s="8" t="s">
        <v>4</v>
      </c>
      <c r="F3" s="9" t="s">
        <v>43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67</v>
      </c>
      <c r="L3" s="8" t="s">
        <v>9</v>
      </c>
      <c r="M3" s="8" t="s">
        <v>10</v>
      </c>
      <c r="N3" s="8" t="s">
        <v>11</v>
      </c>
      <c r="O3" s="8" t="s">
        <v>12</v>
      </c>
      <c r="P3" s="9" t="s">
        <v>45</v>
      </c>
      <c r="Q3" s="7"/>
      <c r="R3" s="3"/>
    </row>
    <row r="4" spans="1:18" x14ac:dyDescent="0.2">
      <c r="A4" s="10">
        <v>1</v>
      </c>
      <c r="B4" s="10" t="s">
        <v>46</v>
      </c>
      <c r="C4" s="1" t="s">
        <v>66</v>
      </c>
      <c r="D4" s="10"/>
      <c r="E4" s="10" t="s">
        <v>20</v>
      </c>
      <c r="F4" s="10">
        <v>0</v>
      </c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8" x14ac:dyDescent="0.2">
      <c r="A5" s="10">
        <v>2</v>
      </c>
      <c r="B5" s="10" t="s">
        <v>47</v>
      </c>
      <c r="C5" s="1" t="s">
        <v>14</v>
      </c>
      <c r="D5" s="10"/>
      <c r="E5" s="10" t="s">
        <v>21</v>
      </c>
      <c r="F5" s="10">
        <v>3</v>
      </c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8" x14ac:dyDescent="0.2">
      <c r="A6" s="10">
        <v>3</v>
      </c>
      <c r="B6" s="10" t="s">
        <v>48</v>
      </c>
      <c r="C6" s="1" t="s">
        <v>61</v>
      </c>
      <c r="D6" s="10"/>
      <c r="E6" s="10" t="s">
        <v>20</v>
      </c>
      <c r="F6" s="10"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8" x14ac:dyDescent="0.2">
      <c r="A7" s="10">
        <v>4</v>
      </c>
      <c r="B7" s="10" t="s">
        <v>49</v>
      </c>
      <c r="C7" s="1" t="s">
        <v>15</v>
      </c>
      <c r="D7" s="10"/>
      <c r="E7" s="10" t="s">
        <v>20</v>
      </c>
      <c r="F7" s="10">
        <v>0</v>
      </c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8" x14ac:dyDescent="0.2">
      <c r="A8" s="10">
        <v>5</v>
      </c>
      <c r="B8" s="10" t="s">
        <v>50</v>
      </c>
      <c r="C8" s="1" t="s">
        <v>13</v>
      </c>
      <c r="D8" s="10"/>
      <c r="E8" s="10" t="s">
        <v>21</v>
      </c>
      <c r="F8" s="10">
        <v>4</v>
      </c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8" x14ac:dyDescent="0.2">
      <c r="A9" s="10">
        <v>6</v>
      </c>
      <c r="B9" s="10" t="s">
        <v>51</v>
      </c>
      <c r="C9" s="1" t="s">
        <v>62</v>
      </c>
      <c r="D9" s="10"/>
      <c r="E9" s="10" t="s">
        <v>21</v>
      </c>
      <c r="F9" s="10">
        <v>2</v>
      </c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8" x14ac:dyDescent="0.2">
      <c r="A10" s="10">
        <v>7</v>
      </c>
      <c r="B10" s="10" t="s">
        <v>52</v>
      </c>
      <c r="C10" s="1" t="s">
        <v>17</v>
      </c>
      <c r="D10" s="10"/>
      <c r="E10" s="10" t="s">
        <v>21</v>
      </c>
      <c r="F10" s="10">
        <v>1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8" x14ac:dyDescent="0.2">
      <c r="A11" s="10">
        <v>8</v>
      </c>
      <c r="B11" s="10" t="s">
        <v>53</v>
      </c>
      <c r="C11" s="1" t="s">
        <v>16</v>
      </c>
      <c r="D11" s="10"/>
      <c r="E11" s="10" t="s">
        <v>20</v>
      </c>
      <c r="F11" s="10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8" x14ac:dyDescent="0.2">
      <c r="A12" s="10">
        <v>9</v>
      </c>
      <c r="B12" s="10" t="s">
        <v>54</v>
      </c>
      <c r="C12" s="1" t="s">
        <v>63</v>
      </c>
      <c r="D12" s="10"/>
      <c r="E12" s="10" t="s">
        <v>21</v>
      </c>
      <c r="F12" s="10">
        <v>5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8" x14ac:dyDescent="0.2">
      <c r="A13" s="10">
        <v>10</v>
      </c>
      <c r="B13" s="10" t="s">
        <v>55</v>
      </c>
      <c r="C13" s="1" t="s">
        <v>64</v>
      </c>
      <c r="D13" s="10"/>
      <c r="E13" s="10" t="s">
        <v>21</v>
      </c>
      <c r="F13" s="10">
        <v>4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8" x14ac:dyDescent="0.2">
      <c r="A14" s="10">
        <v>11</v>
      </c>
      <c r="B14" s="10" t="s">
        <v>56</v>
      </c>
      <c r="C14" s="1" t="s">
        <v>65</v>
      </c>
      <c r="D14" s="10"/>
      <c r="E14" s="10" t="s">
        <v>20</v>
      </c>
      <c r="F14" s="10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8" x14ac:dyDescent="0.2">
      <c r="A15" s="10">
        <v>12</v>
      </c>
      <c r="B15" s="10" t="s">
        <v>57</v>
      </c>
      <c r="C15" s="1" t="s">
        <v>18</v>
      </c>
      <c r="D15" s="10"/>
      <c r="E15" s="10" t="s">
        <v>20</v>
      </c>
      <c r="F15" s="14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8" x14ac:dyDescent="0.2">
      <c r="A16" s="10">
        <v>13</v>
      </c>
      <c r="B16" s="10" t="s">
        <v>58</v>
      </c>
      <c r="C16" s="1" t="s">
        <v>19</v>
      </c>
      <c r="D16" s="10"/>
      <c r="E16" s="16" t="s">
        <v>21</v>
      </c>
      <c r="F16" s="10">
        <v>1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6" x14ac:dyDescent="0.2">
      <c r="F17" s="15"/>
    </row>
    <row r="19" spans="1:6" x14ac:dyDescent="0.2">
      <c r="A19" s="19" t="s">
        <v>30</v>
      </c>
      <c r="B19" s="20"/>
      <c r="C19" s="20"/>
      <c r="D19" s="21"/>
      <c r="E19" s="8" t="s">
        <v>31</v>
      </c>
    </row>
    <row r="20" spans="1:6" x14ac:dyDescent="0.2">
      <c r="A20" s="22" t="s">
        <v>26</v>
      </c>
      <c r="B20" s="23"/>
      <c r="C20" s="23"/>
      <c r="D20" s="24"/>
      <c r="E20" s="10"/>
    </row>
    <row r="21" spans="1:6" x14ac:dyDescent="0.2">
      <c r="A21" s="22" t="s">
        <v>27</v>
      </c>
      <c r="B21" s="23"/>
      <c r="C21" s="23"/>
      <c r="D21" s="24"/>
      <c r="E21" s="10"/>
    </row>
    <row r="22" spans="1:6" x14ac:dyDescent="0.2">
      <c r="A22" s="22" t="s">
        <v>28</v>
      </c>
      <c r="B22" s="23"/>
      <c r="C22" s="23"/>
      <c r="D22" s="24"/>
      <c r="E22" s="10"/>
    </row>
    <row r="23" spans="1:6" x14ac:dyDescent="0.2">
      <c r="A23" s="22" t="s">
        <v>29</v>
      </c>
      <c r="B23" s="23"/>
      <c r="C23" s="23"/>
      <c r="D23" s="24"/>
      <c r="E23" s="10"/>
    </row>
    <row r="25" spans="1:6" x14ac:dyDescent="0.2">
      <c r="B25" s="5" t="s">
        <v>32</v>
      </c>
      <c r="C25" s="2" t="s">
        <v>33</v>
      </c>
      <c r="D25" s="2" t="s">
        <v>34</v>
      </c>
      <c r="E25" s="2" t="s">
        <v>35</v>
      </c>
      <c r="F25" s="2" t="s">
        <v>36</v>
      </c>
    </row>
    <row r="26" spans="1:6" x14ac:dyDescent="0.2">
      <c r="B26" s="5" t="s">
        <v>5</v>
      </c>
      <c r="C26" s="2" t="s">
        <v>25</v>
      </c>
      <c r="D26" s="2" t="s">
        <v>22</v>
      </c>
      <c r="E26" s="2" t="s">
        <v>23</v>
      </c>
      <c r="F26" s="2" t="s">
        <v>24</v>
      </c>
    </row>
    <row r="27" spans="1:6" x14ac:dyDescent="0.2">
      <c r="B27" s="5" t="s">
        <v>7</v>
      </c>
      <c r="C27" s="4">
        <v>150000</v>
      </c>
      <c r="D27" s="4">
        <v>100000</v>
      </c>
      <c r="E27" s="4">
        <v>150000</v>
      </c>
      <c r="F27" s="4">
        <v>100000</v>
      </c>
    </row>
    <row r="28" spans="1:6" x14ac:dyDescent="0.2">
      <c r="B28" s="5" t="s">
        <v>6</v>
      </c>
      <c r="C28" s="4">
        <v>7000000</v>
      </c>
      <c r="D28" s="4">
        <v>8000000</v>
      </c>
      <c r="E28" s="4">
        <v>7500000</v>
      </c>
      <c r="F28" s="4">
        <v>7250000</v>
      </c>
    </row>
    <row r="31" spans="1:6" x14ac:dyDescent="0.2">
      <c r="B31" s="13" t="s">
        <v>37</v>
      </c>
    </row>
    <row r="32" spans="1:6" x14ac:dyDescent="0.2">
      <c r="B32" t="s">
        <v>38</v>
      </c>
    </row>
    <row r="33" spans="1:2" x14ac:dyDescent="0.2">
      <c r="B33" t="s">
        <v>68</v>
      </c>
    </row>
    <row r="34" spans="1:2" x14ac:dyDescent="0.2">
      <c r="B34" t="s">
        <v>39</v>
      </c>
    </row>
    <row r="35" spans="1:2" x14ac:dyDescent="0.2">
      <c r="B35" t="s">
        <v>40</v>
      </c>
    </row>
    <row r="36" spans="1:2" x14ac:dyDescent="0.2">
      <c r="B36" t="s">
        <v>41</v>
      </c>
    </row>
    <row r="37" spans="1:2" x14ac:dyDescent="0.2">
      <c r="B37" t="s">
        <v>42</v>
      </c>
    </row>
    <row r="38" spans="1:2" s="6" customFormat="1" x14ac:dyDescent="0.2">
      <c r="A38" s="12"/>
      <c r="B38" s="6" t="s">
        <v>60</v>
      </c>
    </row>
    <row r="39" spans="1:2" s="6" customFormat="1" x14ac:dyDescent="0.2">
      <c r="A39" s="12"/>
      <c r="B39" s="17" t="s">
        <v>59</v>
      </c>
    </row>
    <row r="40" spans="1:2" x14ac:dyDescent="0.2">
      <c r="B40" t="s">
        <v>69</v>
      </c>
    </row>
  </sheetData>
  <mergeCells count="6">
    <mergeCell ref="A23:D23"/>
    <mergeCell ref="A1:P1"/>
    <mergeCell ref="A19:D19"/>
    <mergeCell ref="A20:D20"/>
    <mergeCell ref="A21:D21"/>
    <mergeCell ref="A22:D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04EC3-9ED9-D64E-AD4D-0C2D038F23F4}">
  <dimension ref="A1:R40"/>
  <sheetViews>
    <sheetView tabSelected="1" zoomScaleNormal="150" zoomScaleSheetLayoutView="100" workbookViewId="0">
      <selection activeCell="L32" sqref="L32"/>
    </sheetView>
  </sheetViews>
  <sheetFormatPr defaultRowHeight="15" x14ac:dyDescent="0.2"/>
  <cols>
    <col min="1" max="1" width="5.78125" style="3" customWidth="1"/>
    <col min="2" max="2" width="20.84765625" customWidth="1"/>
    <col min="3" max="3" width="14.390625" customWidth="1"/>
    <col min="4" max="4" width="15.33203125" customWidth="1"/>
    <col min="5" max="5" width="14.125" customWidth="1"/>
    <col min="6" max="6" width="15.33203125" customWidth="1"/>
    <col min="7" max="7" width="12.64453125" customWidth="1"/>
    <col min="8" max="8" width="14.2578125" customWidth="1"/>
    <col min="9" max="9" width="18.29296875" customWidth="1"/>
    <col min="10" max="10" width="17.62109375" customWidth="1"/>
    <col min="11" max="11" width="22.8671875" customWidth="1"/>
    <col min="12" max="12" width="18.6953125" customWidth="1"/>
    <col min="13" max="13" width="17.3515625" customWidth="1"/>
    <col min="14" max="14" width="16.0078125" customWidth="1"/>
    <col min="15" max="15" width="17.62109375" customWidth="1"/>
    <col min="16" max="16" width="18.4296875" customWidth="1"/>
  </cols>
  <sheetData>
    <row r="1" spans="1:18" ht="21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3" spans="1:18" ht="27.75" x14ac:dyDescent="0.2">
      <c r="A3" s="8" t="s">
        <v>1</v>
      </c>
      <c r="B3" s="8" t="s">
        <v>2</v>
      </c>
      <c r="C3" s="8" t="s">
        <v>3</v>
      </c>
      <c r="D3" s="9" t="s">
        <v>44</v>
      </c>
      <c r="E3" s="8" t="s">
        <v>4</v>
      </c>
      <c r="F3" s="9" t="s">
        <v>43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67</v>
      </c>
      <c r="L3" s="8" t="s">
        <v>9</v>
      </c>
      <c r="M3" s="8" t="s">
        <v>10</v>
      </c>
      <c r="N3" s="8" t="s">
        <v>11</v>
      </c>
      <c r="O3" s="8" t="s">
        <v>12</v>
      </c>
      <c r="P3" s="9" t="s">
        <v>45</v>
      </c>
      <c r="Q3" s="7"/>
      <c r="R3" s="3"/>
    </row>
    <row r="4" spans="1:18" x14ac:dyDescent="0.2">
      <c r="A4" s="10">
        <v>1</v>
      </c>
      <c r="B4" s="10" t="s">
        <v>46</v>
      </c>
      <c r="C4" s="1" t="s">
        <v>66</v>
      </c>
      <c r="D4" s="10" t="str">
        <f>IF(MID(B4,3,1)="1","PRIA","WANITA")</f>
        <v>PRIA</v>
      </c>
      <c r="E4" s="10" t="s">
        <v>20</v>
      </c>
      <c r="F4" s="10">
        <v>0</v>
      </c>
      <c r="G4" s="10" t="s">
        <v>25</v>
      </c>
      <c r="H4" s="11">
        <f>HLOOKUP(G4,$B$26:$F$28,3,0)</f>
        <v>7000000</v>
      </c>
      <c r="I4" s="11">
        <f t="shared" ref="I4:I16" si="0">HLOOKUP(G4,$B$26:$F$28,2,0)</f>
        <v>150000</v>
      </c>
      <c r="J4" s="11">
        <f>IF(OR(G4="PRODUKSI",G4="FINANCIAL"),H4*30%,0)</f>
        <v>2100000</v>
      </c>
      <c r="K4" s="11">
        <f>IF(G4="SDM",2000000,1500000)</f>
        <v>1500000</v>
      </c>
      <c r="L4" s="11">
        <f>IF(G4="MARKETING",H4*20%,H4*10%)</f>
        <v>700000</v>
      </c>
      <c r="M4" s="11">
        <f t="shared" ref="M4:M16" si="1">IF(E4="K",2000000,1000000)</f>
        <v>1000000</v>
      </c>
      <c r="N4" s="11">
        <f>IF(AND(D4="PRIA",E4="K"),H4*5%,0)</f>
        <v>0</v>
      </c>
      <c r="O4" s="10">
        <f>IF(E4="K",MIN(F4,3)*H4*2%,0)</f>
        <v>0</v>
      </c>
      <c r="P4" s="11">
        <f>SUM(H4:O4)</f>
        <v>12450000</v>
      </c>
    </row>
    <row r="5" spans="1:18" x14ac:dyDescent="0.2">
      <c r="A5" s="10">
        <v>2</v>
      </c>
      <c r="B5" s="10" t="s">
        <v>47</v>
      </c>
      <c r="C5" s="1" t="s">
        <v>14</v>
      </c>
      <c r="D5" s="10" t="str">
        <f>IF(MID(B5,3,1)="1","PRIA","WANITA")</f>
        <v>PRIA</v>
      </c>
      <c r="E5" s="10" t="s">
        <v>21</v>
      </c>
      <c r="F5" s="10">
        <v>3</v>
      </c>
      <c r="G5" s="10" t="str">
        <f t="shared" ref="G5:G16" si="2">HLOOKUP(RIGHT(B5,1),$B$25:$F$26,2,0)</f>
        <v>MARKETING</v>
      </c>
      <c r="H5" s="11">
        <f t="shared" ref="H5:H16" si="3">HLOOKUP(G5,$B$26:$F$28,3,0)</f>
        <v>8000000</v>
      </c>
      <c r="I5" s="11">
        <f t="shared" si="0"/>
        <v>100000</v>
      </c>
      <c r="J5" s="11">
        <f t="shared" ref="J5:J16" si="4">IF(OR(G5="PRODUKSI",G5="FINANCIAL"),H5*30%,0)</f>
        <v>0</v>
      </c>
      <c r="K5" s="11">
        <f t="shared" ref="K5:K16" si="5">IF(G5="SDM",2000000,1500000)</f>
        <v>1500000</v>
      </c>
      <c r="L5" s="11">
        <f t="shared" ref="L5:L16" si="6">IF(G5="MARKETING",H5*20%,H5*10%)</f>
        <v>1600000</v>
      </c>
      <c r="M5" s="11">
        <f t="shared" si="1"/>
        <v>2000000</v>
      </c>
      <c r="N5" s="11">
        <f t="shared" ref="N5:N16" si="7">IF(AND(D5="PRIA",E5="K"),H5*5%,0)</f>
        <v>400000</v>
      </c>
      <c r="O5" s="10">
        <f>IF(E5="K",MIN(F5,3)*H5*2%,0)</f>
        <v>480000</v>
      </c>
      <c r="P5" s="11">
        <f t="shared" ref="P5:P16" si="8">SUM(H5:O5)</f>
        <v>14080000</v>
      </c>
    </row>
    <row r="6" spans="1:18" x14ac:dyDescent="0.2">
      <c r="A6" s="10">
        <v>3</v>
      </c>
      <c r="B6" s="10" t="s">
        <v>48</v>
      </c>
      <c r="C6" s="1" t="s">
        <v>61</v>
      </c>
      <c r="D6" s="10" t="str">
        <f t="shared" ref="D6:D16" si="9">IF(MID(B6,3,1)="1","PRIA","WANITA")</f>
        <v>WANITA</v>
      </c>
      <c r="E6" s="10" t="s">
        <v>20</v>
      </c>
      <c r="F6" s="10">
        <v>0</v>
      </c>
      <c r="G6" s="10" t="str">
        <f t="shared" si="2"/>
        <v>FINANCIAL</v>
      </c>
      <c r="H6" s="11">
        <f t="shared" si="3"/>
        <v>7500000</v>
      </c>
      <c r="I6" s="11">
        <f t="shared" si="0"/>
        <v>150000</v>
      </c>
      <c r="J6" s="11">
        <f t="shared" si="4"/>
        <v>2250000</v>
      </c>
      <c r="K6" s="11">
        <f t="shared" si="5"/>
        <v>1500000</v>
      </c>
      <c r="L6" s="11">
        <f t="shared" si="6"/>
        <v>750000</v>
      </c>
      <c r="M6" s="11">
        <f t="shared" si="1"/>
        <v>1000000</v>
      </c>
      <c r="N6" s="11">
        <f t="shared" si="7"/>
        <v>0</v>
      </c>
      <c r="O6" s="10">
        <f t="shared" ref="O6:O15" si="10">IF(E6="K",MIN(F6,3)*H6*2%,0)</f>
        <v>0</v>
      </c>
      <c r="P6" s="11">
        <f t="shared" si="8"/>
        <v>13150000</v>
      </c>
    </row>
    <row r="7" spans="1:18" x14ac:dyDescent="0.2">
      <c r="A7" s="10">
        <v>4</v>
      </c>
      <c r="B7" s="10" t="s">
        <v>49</v>
      </c>
      <c r="C7" s="1" t="s">
        <v>15</v>
      </c>
      <c r="D7" s="10" t="str">
        <f t="shared" si="9"/>
        <v>PRIA</v>
      </c>
      <c r="E7" s="10" t="s">
        <v>20</v>
      </c>
      <c r="F7" s="10">
        <v>0</v>
      </c>
      <c r="G7" s="10" t="str">
        <f t="shared" si="2"/>
        <v>MARKETING</v>
      </c>
      <c r="H7" s="11">
        <f t="shared" si="3"/>
        <v>8000000</v>
      </c>
      <c r="I7" s="11">
        <f t="shared" si="0"/>
        <v>100000</v>
      </c>
      <c r="J7" s="11">
        <f t="shared" si="4"/>
        <v>0</v>
      </c>
      <c r="K7" s="11">
        <f t="shared" si="5"/>
        <v>1500000</v>
      </c>
      <c r="L7" s="11">
        <f t="shared" si="6"/>
        <v>1600000</v>
      </c>
      <c r="M7" s="11">
        <f t="shared" si="1"/>
        <v>1000000</v>
      </c>
      <c r="N7" s="11">
        <f t="shared" si="7"/>
        <v>0</v>
      </c>
      <c r="O7" s="10">
        <f t="shared" si="10"/>
        <v>0</v>
      </c>
      <c r="P7" s="11">
        <f t="shared" si="8"/>
        <v>12200000</v>
      </c>
    </row>
    <row r="8" spans="1:18" x14ac:dyDescent="0.2">
      <c r="A8" s="10">
        <v>5</v>
      </c>
      <c r="B8" s="10" t="s">
        <v>50</v>
      </c>
      <c r="C8" s="1" t="s">
        <v>13</v>
      </c>
      <c r="D8" s="10" t="str">
        <f t="shared" si="9"/>
        <v>PRIA</v>
      </c>
      <c r="E8" s="10" t="s">
        <v>21</v>
      </c>
      <c r="F8" s="10">
        <v>4</v>
      </c>
      <c r="G8" s="10" t="str">
        <f t="shared" si="2"/>
        <v>SDM</v>
      </c>
      <c r="H8" s="11">
        <f t="shared" si="3"/>
        <v>7250000</v>
      </c>
      <c r="I8" s="11">
        <f t="shared" si="0"/>
        <v>100000</v>
      </c>
      <c r="J8" s="11">
        <f t="shared" si="4"/>
        <v>0</v>
      </c>
      <c r="K8" s="11">
        <f t="shared" si="5"/>
        <v>2000000</v>
      </c>
      <c r="L8" s="11">
        <f t="shared" si="6"/>
        <v>725000</v>
      </c>
      <c r="M8" s="11">
        <f t="shared" si="1"/>
        <v>2000000</v>
      </c>
      <c r="N8" s="11">
        <f t="shared" si="7"/>
        <v>362500</v>
      </c>
      <c r="O8" s="10">
        <f t="shared" si="10"/>
        <v>435000</v>
      </c>
      <c r="P8" s="11">
        <f t="shared" si="8"/>
        <v>12872500</v>
      </c>
    </row>
    <row r="9" spans="1:18" x14ac:dyDescent="0.2">
      <c r="A9" s="10">
        <v>6</v>
      </c>
      <c r="B9" s="10" t="s">
        <v>51</v>
      </c>
      <c r="C9" s="1" t="s">
        <v>62</v>
      </c>
      <c r="D9" s="10" t="str">
        <f t="shared" si="9"/>
        <v>PRIA</v>
      </c>
      <c r="E9" s="10" t="s">
        <v>21</v>
      </c>
      <c r="F9" s="10">
        <v>2</v>
      </c>
      <c r="G9" s="10" t="str">
        <f t="shared" si="2"/>
        <v>PRODUKSI</v>
      </c>
      <c r="H9" s="11">
        <f t="shared" si="3"/>
        <v>7000000</v>
      </c>
      <c r="I9" s="11">
        <f t="shared" si="0"/>
        <v>150000</v>
      </c>
      <c r="J9" s="11">
        <f t="shared" si="4"/>
        <v>2100000</v>
      </c>
      <c r="K9" s="11">
        <f t="shared" si="5"/>
        <v>1500000</v>
      </c>
      <c r="L9" s="11">
        <f t="shared" si="6"/>
        <v>700000</v>
      </c>
      <c r="M9" s="11">
        <f t="shared" si="1"/>
        <v>2000000</v>
      </c>
      <c r="N9" s="11">
        <f t="shared" si="7"/>
        <v>350000</v>
      </c>
      <c r="O9" s="10">
        <f t="shared" si="10"/>
        <v>280000</v>
      </c>
      <c r="P9" s="11">
        <f t="shared" si="8"/>
        <v>14080000</v>
      </c>
    </row>
    <row r="10" spans="1:18" x14ac:dyDescent="0.2">
      <c r="A10" s="10">
        <v>7</v>
      </c>
      <c r="B10" s="10" t="s">
        <v>52</v>
      </c>
      <c r="C10" s="1" t="s">
        <v>17</v>
      </c>
      <c r="D10" s="10" t="str">
        <f t="shared" si="9"/>
        <v>WANITA</v>
      </c>
      <c r="E10" s="10" t="s">
        <v>21</v>
      </c>
      <c r="F10" s="10">
        <v>1</v>
      </c>
      <c r="G10" s="10" t="str">
        <f t="shared" si="2"/>
        <v>MARKETING</v>
      </c>
      <c r="H10" s="11">
        <f t="shared" si="3"/>
        <v>8000000</v>
      </c>
      <c r="I10" s="11">
        <f t="shared" si="0"/>
        <v>100000</v>
      </c>
      <c r="J10" s="11">
        <f t="shared" si="4"/>
        <v>0</v>
      </c>
      <c r="K10" s="11">
        <f t="shared" si="5"/>
        <v>1500000</v>
      </c>
      <c r="L10" s="11">
        <f t="shared" si="6"/>
        <v>1600000</v>
      </c>
      <c r="M10" s="11">
        <f t="shared" si="1"/>
        <v>2000000</v>
      </c>
      <c r="N10" s="11">
        <f t="shared" si="7"/>
        <v>0</v>
      </c>
      <c r="O10" s="10">
        <f t="shared" si="10"/>
        <v>160000</v>
      </c>
      <c r="P10" s="11">
        <f t="shared" si="8"/>
        <v>13360000</v>
      </c>
    </row>
    <row r="11" spans="1:18" x14ac:dyDescent="0.2">
      <c r="A11" s="10">
        <v>8</v>
      </c>
      <c r="B11" s="10" t="s">
        <v>53</v>
      </c>
      <c r="C11" s="1" t="s">
        <v>16</v>
      </c>
      <c r="D11" s="10" t="str">
        <f t="shared" si="9"/>
        <v>WANITA</v>
      </c>
      <c r="E11" s="10" t="s">
        <v>20</v>
      </c>
      <c r="F11" s="10">
        <v>0</v>
      </c>
      <c r="G11" s="10" t="str">
        <f t="shared" si="2"/>
        <v>SDM</v>
      </c>
      <c r="H11" s="11">
        <f t="shared" si="3"/>
        <v>7250000</v>
      </c>
      <c r="I11" s="11">
        <f t="shared" si="0"/>
        <v>100000</v>
      </c>
      <c r="J11" s="11">
        <f t="shared" si="4"/>
        <v>0</v>
      </c>
      <c r="K11" s="11">
        <f t="shared" si="5"/>
        <v>2000000</v>
      </c>
      <c r="L11" s="11">
        <f t="shared" si="6"/>
        <v>725000</v>
      </c>
      <c r="M11" s="11">
        <f t="shared" si="1"/>
        <v>1000000</v>
      </c>
      <c r="N11" s="11">
        <f t="shared" si="7"/>
        <v>0</v>
      </c>
      <c r="O11" s="10">
        <f t="shared" si="10"/>
        <v>0</v>
      </c>
      <c r="P11" s="11">
        <f t="shared" si="8"/>
        <v>11075000</v>
      </c>
    </row>
    <row r="12" spans="1:18" x14ac:dyDescent="0.2">
      <c r="A12" s="10">
        <v>9</v>
      </c>
      <c r="B12" s="10" t="s">
        <v>54</v>
      </c>
      <c r="C12" s="1" t="s">
        <v>63</v>
      </c>
      <c r="D12" s="10" t="str">
        <f t="shared" si="9"/>
        <v>WANITA</v>
      </c>
      <c r="E12" s="10" t="s">
        <v>21</v>
      </c>
      <c r="F12" s="10">
        <v>5</v>
      </c>
      <c r="G12" s="10" t="str">
        <f t="shared" si="2"/>
        <v>MARKETING</v>
      </c>
      <c r="H12" s="11">
        <f t="shared" si="3"/>
        <v>8000000</v>
      </c>
      <c r="I12" s="11">
        <f t="shared" si="0"/>
        <v>100000</v>
      </c>
      <c r="J12" s="11">
        <f t="shared" si="4"/>
        <v>0</v>
      </c>
      <c r="K12" s="11">
        <f t="shared" si="5"/>
        <v>1500000</v>
      </c>
      <c r="L12" s="11">
        <f t="shared" si="6"/>
        <v>1600000</v>
      </c>
      <c r="M12" s="11">
        <f t="shared" si="1"/>
        <v>2000000</v>
      </c>
      <c r="N12" s="11">
        <f t="shared" si="7"/>
        <v>0</v>
      </c>
      <c r="O12" s="10">
        <f t="shared" si="10"/>
        <v>480000</v>
      </c>
      <c r="P12" s="11">
        <f t="shared" si="8"/>
        <v>13680000</v>
      </c>
    </row>
    <row r="13" spans="1:18" x14ac:dyDescent="0.2">
      <c r="A13" s="10">
        <v>10</v>
      </c>
      <c r="B13" s="10" t="s">
        <v>55</v>
      </c>
      <c r="C13" s="1" t="s">
        <v>64</v>
      </c>
      <c r="D13" s="10" t="str">
        <f t="shared" si="9"/>
        <v>WANITA</v>
      </c>
      <c r="E13" s="10" t="s">
        <v>21</v>
      </c>
      <c r="F13" s="10">
        <v>4</v>
      </c>
      <c r="G13" s="10" t="str">
        <f t="shared" si="2"/>
        <v>FINANCIAL</v>
      </c>
      <c r="H13" s="11">
        <f t="shared" si="3"/>
        <v>7500000</v>
      </c>
      <c r="I13" s="11">
        <f t="shared" si="0"/>
        <v>150000</v>
      </c>
      <c r="J13" s="11">
        <f t="shared" si="4"/>
        <v>2250000</v>
      </c>
      <c r="K13" s="11">
        <f t="shared" si="5"/>
        <v>1500000</v>
      </c>
      <c r="L13" s="11">
        <f t="shared" si="6"/>
        <v>750000</v>
      </c>
      <c r="M13" s="11">
        <f t="shared" si="1"/>
        <v>2000000</v>
      </c>
      <c r="N13" s="11">
        <f t="shared" si="7"/>
        <v>0</v>
      </c>
      <c r="O13" s="10">
        <f t="shared" si="10"/>
        <v>450000</v>
      </c>
      <c r="P13" s="11">
        <f t="shared" si="8"/>
        <v>14600000</v>
      </c>
    </row>
    <row r="14" spans="1:18" x14ac:dyDescent="0.2">
      <c r="A14" s="10">
        <v>11</v>
      </c>
      <c r="B14" s="10" t="s">
        <v>56</v>
      </c>
      <c r="C14" s="1" t="s">
        <v>65</v>
      </c>
      <c r="D14" s="10" t="str">
        <f t="shared" si="9"/>
        <v>PRIA</v>
      </c>
      <c r="E14" s="10" t="s">
        <v>20</v>
      </c>
      <c r="F14" s="10">
        <v>0</v>
      </c>
      <c r="G14" s="10" t="str">
        <f t="shared" si="2"/>
        <v>MARKETING</v>
      </c>
      <c r="H14" s="11">
        <f t="shared" si="3"/>
        <v>8000000</v>
      </c>
      <c r="I14" s="11">
        <f t="shared" si="0"/>
        <v>100000</v>
      </c>
      <c r="J14" s="11">
        <f t="shared" si="4"/>
        <v>0</v>
      </c>
      <c r="K14" s="11">
        <f t="shared" si="5"/>
        <v>1500000</v>
      </c>
      <c r="L14" s="11">
        <f t="shared" si="6"/>
        <v>1600000</v>
      </c>
      <c r="M14" s="11">
        <f t="shared" si="1"/>
        <v>1000000</v>
      </c>
      <c r="N14" s="11">
        <f t="shared" si="7"/>
        <v>0</v>
      </c>
      <c r="O14" s="10">
        <f t="shared" si="10"/>
        <v>0</v>
      </c>
      <c r="P14" s="11">
        <f t="shared" si="8"/>
        <v>12200000</v>
      </c>
    </row>
    <row r="15" spans="1:18" x14ac:dyDescent="0.2">
      <c r="A15" s="10">
        <v>12</v>
      </c>
      <c r="B15" s="10" t="s">
        <v>57</v>
      </c>
      <c r="C15" s="1" t="s">
        <v>18</v>
      </c>
      <c r="D15" s="10" t="str">
        <f t="shared" si="9"/>
        <v>PRIA</v>
      </c>
      <c r="E15" s="10" t="s">
        <v>20</v>
      </c>
      <c r="F15" s="14">
        <v>0</v>
      </c>
      <c r="G15" s="10" t="str">
        <f t="shared" si="2"/>
        <v>PRODUKSI</v>
      </c>
      <c r="H15" s="11">
        <f t="shared" si="3"/>
        <v>7000000</v>
      </c>
      <c r="I15" s="11">
        <f t="shared" si="0"/>
        <v>150000</v>
      </c>
      <c r="J15" s="11">
        <f t="shared" si="4"/>
        <v>2100000</v>
      </c>
      <c r="K15" s="11">
        <f t="shared" si="5"/>
        <v>1500000</v>
      </c>
      <c r="L15" s="11">
        <f t="shared" si="6"/>
        <v>700000</v>
      </c>
      <c r="M15" s="11">
        <f t="shared" si="1"/>
        <v>1000000</v>
      </c>
      <c r="N15" s="11">
        <f t="shared" si="7"/>
        <v>0</v>
      </c>
      <c r="O15" s="10">
        <f t="shared" si="10"/>
        <v>0</v>
      </c>
      <c r="P15" s="11">
        <f t="shared" si="8"/>
        <v>12450000</v>
      </c>
    </row>
    <row r="16" spans="1:18" x14ac:dyDescent="0.2">
      <c r="A16" s="10">
        <v>13</v>
      </c>
      <c r="B16" s="10" t="s">
        <v>58</v>
      </c>
      <c r="C16" s="1" t="s">
        <v>19</v>
      </c>
      <c r="D16" s="10" t="str">
        <f t="shared" si="9"/>
        <v>PRIA</v>
      </c>
      <c r="E16" s="16" t="s">
        <v>21</v>
      </c>
      <c r="F16" s="10">
        <v>1</v>
      </c>
      <c r="G16" s="10" t="str">
        <f t="shared" si="2"/>
        <v>SDM</v>
      </c>
      <c r="H16" s="11">
        <f t="shared" si="3"/>
        <v>7250000</v>
      </c>
      <c r="I16" s="11">
        <f t="shared" si="0"/>
        <v>100000</v>
      </c>
      <c r="J16" s="11">
        <f t="shared" si="4"/>
        <v>0</v>
      </c>
      <c r="K16" s="11">
        <f t="shared" si="5"/>
        <v>2000000</v>
      </c>
      <c r="L16" s="11">
        <f t="shared" si="6"/>
        <v>725000</v>
      </c>
      <c r="M16" s="11">
        <f t="shared" si="1"/>
        <v>2000000</v>
      </c>
      <c r="N16" s="11">
        <f t="shared" si="7"/>
        <v>362500</v>
      </c>
      <c r="O16" s="10">
        <f>IF(E16="K",MIN(F16,3)*H16*2%,0)</f>
        <v>145000</v>
      </c>
      <c r="P16" s="11">
        <f t="shared" si="8"/>
        <v>12582500</v>
      </c>
    </row>
    <row r="17" spans="1:6" x14ac:dyDescent="0.2">
      <c r="F17" s="15"/>
    </row>
    <row r="19" spans="1:6" x14ac:dyDescent="0.2">
      <c r="A19" s="19" t="s">
        <v>30</v>
      </c>
      <c r="B19" s="20"/>
      <c r="C19" s="20"/>
      <c r="D19" s="21"/>
      <c r="E19" s="8" t="s">
        <v>31</v>
      </c>
    </row>
    <row r="20" spans="1:6" x14ac:dyDescent="0.2">
      <c r="A20" s="22" t="s">
        <v>26</v>
      </c>
      <c r="B20" s="23"/>
      <c r="C20" s="23"/>
      <c r="D20" s="24"/>
      <c r="E20" s="10">
        <f>COUNTIF(G4:G16,"PRODUKSI")</f>
        <v>3</v>
      </c>
    </row>
    <row r="21" spans="1:6" x14ac:dyDescent="0.2">
      <c r="A21" s="22" t="s">
        <v>27</v>
      </c>
      <c r="B21" s="23"/>
      <c r="C21" s="23"/>
      <c r="D21" s="24"/>
      <c r="E21" s="10">
        <f>COUNTIF(G4:G16,"MARKETING")</f>
        <v>5</v>
      </c>
    </row>
    <row r="22" spans="1:6" x14ac:dyDescent="0.2">
      <c r="A22" s="22" t="s">
        <v>28</v>
      </c>
      <c r="B22" s="23"/>
      <c r="C22" s="23"/>
      <c r="D22" s="24"/>
      <c r="E22" s="10">
        <f>COUNTIF(G4:G16,"FINANCIAL")</f>
        <v>2</v>
      </c>
    </row>
    <row r="23" spans="1:6" x14ac:dyDescent="0.2">
      <c r="A23" s="22" t="s">
        <v>29</v>
      </c>
      <c r="B23" s="23"/>
      <c r="C23" s="23"/>
      <c r="D23" s="24"/>
      <c r="E23" s="10">
        <f>COUNTIF(G4:G16,"SDM")</f>
        <v>3</v>
      </c>
    </row>
    <row r="25" spans="1:6" x14ac:dyDescent="0.2">
      <c r="B25" s="5" t="s">
        <v>32</v>
      </c>
      <c r="C25" s="2" t="s">
        <v>33</v>
      </c>
      <c r="D25" s="2" t="s">
        <v>34</v>
      </c>
      <c r="E25" s="2" t="s">
        <v>35</v>
      </c>
      <c r="F25" s="2" t="s">
        <v>36</v>
      </c>
    </row>
    <row r="26" spans="1:6" x14ac:dyDescent="0.2">
      <c r="B26" s="5" t="s">
        <v>5</v>
      </c>
      <c r="C26" s="2" t="s">
        <v>25</v>
      </c>
      <c r="D26" s="2" t="s">
        <v>22</v>
      </c>
      <c r="E26" s="2" t="s">
        <v>23</v>
      </c>
      <c r="F26" s="2" t="s">
        <v>24</v>
      </c>
    </row>
    <row r="27" spans="1:6" x14ac:dyDescent="0.2">
      <c r="B27" s="5" t="s">
        <v>7</v>
      </c>
      <c r="C27" s="4">
        <v>150000</v>
      </c>
      <c r="D27" s="4">
        <v>100000</v>
      </c>
      <c r="E27" s="4">
        <v>150000</v>
      </c>
      <c r="F27" s="4">
        <v>100000</v>
      </c>
    </row>
    <row r="28" spans="1:6" x14ac:dyDescent="0.2">
      <c r="B28" s="5" t="s">
        <v>6</v>
      </c>
      <c r="C28" s="4">
        <v>7000000</v>
      </c>
      <c r="D28" s="4">
        <v>8000000</v>
      </c>
      <c r="E28" s="4">
        <v>7500000</v>
      </c>
      <c r="F28" s="4">
        <v>7250000</v>
      </c>
    </row>
    <row r="31" spans="1:6" x14ac:dyDescent="0.2">
      <c r="B31" s="13" t="s">
        <v>37</v>
      </c>
    </row>
    <row r="32" spans="1:6" x14ac:dyDescent="0.2">
      <c r="B32" t="s">
        <v>38</v>
      </c>
    </row>
    <row r="33" spans="1:2" x14ac:dyDescent="0.2">
      <c r="B33" t="s">
        <v>68</v>
      </c>
    </row>
    <row r="34" spans="1:2" x14ac:dyDescent="0.2">
      <c r="B34" t="s">
        <v>39</v>
      </c>
    </row>
    <row r="35" spans="1:2" x14ac:dyDescent="0.2">
      <c r="B35" t="s">
        <v>40</v>
      </c>
    </row>
    <row r="36" spans="1:2" x14ac:dyDescent="0.2">
      <c r="B36" t="s">
        <v>41</v>
      </c>
    </row>
    <row r="37" spans="1:2" x14ac:dyDescent="0.2">
      <c r="B37" t="s">
        <v>42</v>
      </c>
    </row>
    <row r="38" spans="1:2" s="6" customFormat="1" x14ac:dyDescent="0.2">
      <c r="A38" s="12"/>
      <c r="B38" s="6" t="s">
        <v>60</v>
      </c>
    </row>
    <row r="39" spans="1:2" s="6" customFormat="1" x14ac:dyDescent="0.2">
      <c r="A39" s="12"/>
      <c r="B39" s="17" t="s">
        <v>59</v>
      </c>
    </row>
    <row r="40" spans="1:2" x14ac:dyDescent="0.2">
      <c r="B40" t="s">
        <v>69</v>
      </c>
    </row>
  </sheetData>
  <mergeCells count="6">
    <mergeCell ref="A1:P1"/>
    <mergeCell ref="A19:D19"/>
    <mergeCell ref="A20:D20"/>
    <mergeCell ref="A21:D21"/>
    <mergeCell ref="A22:D22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SOAL</vt:lpstr>
      <vt:lpstr>JAWABAN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21110087@pertiwi.ac.id</dc:creator>
  <dcterms:created xsi:type="dcterms:W3CDTF">2025-02-08T19:24:49Z</dcterms:created>
</cp:coreProperties>
</file>