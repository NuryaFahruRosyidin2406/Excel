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Jawaban Data Karyawan" sheetId="1" r:id="rId1"/>
    <sheet name="Jawaban Slip Gaji" sheetId="2" r:id="rId2"/>
    <sheet name="Soal Data Karyawan" sheetId="3" r:id="rId3"/>
    <sheet name="Soal Slip Gaji" sheetId="4" r:id="rId4"/>
  </sheets>
  <calcPr calcId="145621"/>
</workbook>
</file>

<file path=xl/calcChain.xml><?xml version="1.0" encoding="utf-8"?>
<calcChain xmlns="http://schemas.openxmlformats.org/spreadsheetml/2006/main">
  <c r="L60" i="2" l="1"/>
  <c r="D7" i="4"/>
  <c r="D6" i="4"/>
  <c r="D5" i="4"/>
  <c r="E7" i="1" l="1"/>
  <c r="E8" i="1"/>
  <c r="E9" i="1"/>
  <c r="E10" i="1"/>
  <c r="E11" i="1"/>
  <c r="E12" i="1"/>
  <c r="E13" i="1"/>
  <c r="E14" i="1"/>
  <c r="E15" i="1"/>
  <c r="E6" i="1"/>
  <c r="K6" i="1" l="1"/>
  <c r="L56" i="2" l="1"/>
  <c r="F54" i="2"/>
  <c r="D50" i="2"/>
  <c r="D49" i="2"/>
  <c r="D48" i="2"/>
  <c r="L34" i="2"/>
  <c r="F32" i="2"/>
  <c r="D28" i="2"/>
  <c r="D27" i="2"/>
  <c r="D26" i="2"/>
  <c r="L13" i="2"/>
  <c r="F11" i="2"/>
  <c r="D7" i="2"/>
  <c r="D6" i="2"/>
  <c r="D5" i="2"/>
  <c r="K8" i="1"/>
  <c r="F15" i="2" s="1"/>
  <c r="K10" i="1"/>
  <c r="K11" i="1"/>
  <c r="K13" i="1"/>
  <c r="K14" i="1"/>
  <c r="K15" i="1"/>
  <c r="D7" i="1"/>
  <c r="K7" i="1" s="1"/>
  <c r="F58" i="2" s="1"/>
  <c r="D8" i="1"/>
  <c r="J8" i="1" s="1"/>
  <c r="D9" i="1"/>
  <c r="K9" i="1" s="1"/>
  <c r="F36" i="2" s="1"/>
  <c r="D10" i="1"/>
  <c r="I10" i="1" s="1"/>
  <c r="D11" i="1"/>
  <c r="I11" i="1" s="1"/>
  <c r="D12" i="1"/>
  <c r="J12" i="1" s="1"/>
  <c r="D13" i="1"/>
  <c r="J13" i="1" s="1"/>
  <c r="D14" i="1"/>
  <c r="I14" i="1" s="1"/>
  <c r="D15" i="1"/>
  <c r="I15" i="1" s="1"/>
  <c r="D6" i="1"/>
  <c r="J6" i="1" s="1"/>
  <c r="F14" i="2" l="1"/>
  <c r="L10" i="2"/>
  <c r="F15" i="1"/>
  <c r="F11" i="1"/>
  <c r="F7" i="1"/>
  <c r="F55" i="2" s="1"/>
  <c r="G13" i="1"/>
  <c r="G9" i="1"/>
  <c r="L32" i="2" s="1"/>
  <c r="H15" i="1"/>
  <c r="H11" i="1"/>
  <c r="H7" i="1"/>
  <c r="F56" i="2" s="1"/>
  <c r="I13" i="1"/>
  <c r="I9" i="1"/>
  <c r="L33" i="2" s="1"/>
  <c r="J15" i="1"/>
  <c r="J11" i="1"/>
  <c r="J7" i="1"/>
  <c r="K12" i="1"/>
  <c r="F10" i="2"/>
  <c r="F14" i="1"/>
  <c r="F10" i="1"/>
  <c r="G6" i="1"/>
  <c r="G12" i="1"/>
  <c r="G8" i="1"/>
  <c r="L11" i="2" s="1"/>
  <c r="H14" i="1"/>
  <c r="H10" i="1"/>
  <c r="I6" i="1"/>
  <c r="I12" i="1"/>
  <c r="I8" i="1"/>
  <c r="L12" i="2" s="1"/>
  <c r="J14" i="1"/>
  <c r="J10" i="1"/>
  <c r="F31" i="2"/>
  <c r="F13" i="1"/>
  <c r="F9" i="1"/>
  <c r="F33" i="2" s="1"/>
  <c r="G15" i="1"/>
  <c r="G11" i="1"/>
  <c r="G7" i="1"/>
  <c r="L54" i="2" s="1"/>
  <c r="H13" i="1"/>
  <c r="H9" i="1"/>
  <c r="F34" i="2" s="1"/>
  <c r="I7" i="1"/>
  <c r="L55" i="2" s="1"/>
  <c r="J9" i="1"/>
  <c r="F53" i="2"/>
  <c r="F6" i="1"/>
  <c r="F12" i="1"/>
  <c r="F8" i="1"/>
  <c r="F12" i="2" s="1"/>
  <c r="F17" i="2" s="1"/>
  <c r="L19" i="2" s="1"/>
  <c r="G14" i="1"/>
  <c r="G10" i="1"/>
  <c r="H6" i="1"/>
  <c r="H12" i="1"/>
  <c r="H8" i="1"/>
  <c r="F13" i="2" s="1"/>
  <c r="L17" i="2"/>
  <c r="L31" i="2" l="1"/>
  <c r="L38" i="2" s="1"/>
  <c r="F35" i="2"/>
  <c r="F38" i="2" s="1"/>
  <c r="L40" i="2" s="1"/>
  <c r="F57" i="2"/>
  <c r="F60" i="2" s="1"/>
  <c r="L53" i="2"/>
  <c r="L62" i="2" l="1"/>
</calcChain>
</file>

<file path=xl/sharedStrings.xml><?xml version="1.0" encoding="utf-8"?>
<sst xmlns="http://schemas.openxmlformats.org/spreadsheetml/2006/main" count="302" uniqueCount="71">
  <si>
    <t>SOAL TES MASUK KERJA FORMAT SLIP GAJI</t>
  </si>
  <si>
    <t>NIK</t>
  </si>
  <si>
    <t>Gaji Pokok</t>
  </si>
  <si>
    <t>Bonus</t>
  </si>
  <si>
    <t>Nama</t>
  </si>
  <si>
    <t>Posisi</t>
  </si>
  <si>
    <t>BPJS Ketenagakerjaan</t>
  </si>
  <si>
    <t>Perusahaan</t>
  </si>
  <si>
    <t>Karyawan</t>
  </si>
  <si>
    <t>BPJS Kesehatan</t>
  </si>
  <si>
    <t>Bonus PPh21</t>
  </si>
  <si>
    <t>Bonus Transport</t>
  </si>
  <si>
    <t>Cicilan</t>
  </si>
  <si>
    <t>K01</t>
  </si>
  <si>
    <t>Agus</t>
  </si>
  <si>
    <t>Pemasaran</t>
  </si>
  <si>
    <t>K02</t>
  </si>
  <si>
    <t>Susi</t>
  </si>
  <si>
    <t>Direksi</t>
  </si>
  <si>
    <t>K03</t>
  </si>
  <si>
    <t>Zahra</t>
  </si>
  <si>
    <t>K04</t>
  </si>
  <si>
    <t>Faiz</t>
  </si>
  <si>
    <t>Personalia</t>
  </si>
  <si>
    <t>K05</t>
  </si>
  <si>
    <t>Salim</t>
  </si>
  <si>
    <t>Admin</t>
  </si>
  <si>
    <t>K06</t>
  </si>
  <si>
    <t>Ani</t>
  </si>
  <si>
    <t>K07</t>
  </si>
  <si>
    <t>Syita</t>
  </si>
  <si>
    <t>K08</t>
  </si>
  <si>
    <t>Rama</t>
  </si>
  <si>
    <t>K09</t>
  </si>
  <si>
    <t>Maksum</t>
  </si>
  <si>
    <t>K10</t>
  </si>
  <si>
    <t>Zha</t>
  </si>
  <si>
    <t>Tabel Acuan</t>
  </si>
  <si>
    <t>No.</t>
  </si>
  <si>
    <t>0 = FALSE</t>
  </si>
  <si>
    <t>1 = TRUE</t>
  </si>
  <si>
    <t>PETUNJUK PENGISIAN:</t>
  </si>
  <si>
    <t>- Direksi : Rp 3.000.000</t>
  </si>
  <si>
    <t>- Personalia : Rp 1.000.000</t>
  </si>
  <si>
    <t>- Pemasaran : Rp 500.000</t>
  </si>
  <si>
    <t>- Direksi : 6% dari Gaji Pokok</t>
  </si>
  <si>
    <t>- Personalia : 4% dari Gaji Pokok</t>
  </si>
  <si>
    <r>
      <t xml:space="preserve">1. </t>
    </r>
    <r>
      <rPr>
        <b/>
        <sz val="11"/>
        <color rgb="FF000000"/>
        <rFont val="Calibri"/>
        <family val="2"/>
        <scheme val="minor"/>
      </rPr>
      <t xml:space="preserve">Gaji Pokok </t>
    </r>
    <r>
      <rPr>
        <sz val="11"/>
        <color rgb="FF000000"/>
        <rFont val="Calibri"/>
        <family val="2"/>
        <scheme val="minor"/>
      </rPr>
      <t>: Menggunakan rumus Vlookup yang diambil dari Tabel Acuan</t>
    </r>
  </si>
  <si>
    <r>
      <t xml:space="preserve">2. </t>
    </r>
    <r>
      <rPr>
        <b/>
        <sz val="11"/>
        <color rgb="FF000000"/>
        <rFont val="Calibri"/>
        <family val="2"/>
        <scheme val="minor"/>
      </rPr>
      <t>Bonus</t>
    </r>
    <r>
      <rPr>
        <sz val="11"/>
        <color rgb="FF000000"/>
        <rFont val="Calibri"/>
        <family val="2"/>
        <scheme val="minor"/>
      </rPr>
      <t xml:space="preserve"> : </t>
    </r>
  </si>
  <si>
    <r>
      <t xml:space="preserve">3. </t>
    </r>
    <r>
      <rPr>
        <b/>
        <sz val="11"/>
        <color rgb="FF000000"/>
        <rFont val="Calibri"/>
        <family val="2"/>
        <scheme val="minor"/>
      </rPr>
      <t xml:space="preserve">BPJS Ketenagakerjaan </t>
    </r>
    <r>
      <rPr>
        <sz val="11"/>
        <color rgb="FF000000"/>
        <rFont val="Calibri"/>
        <family val="2"/>
        <scheme val="minor"/>
      </rPr>
      <t>:</t>
    </r>
  </si>
  <si>
    <r>
      <t xml:space="preserve">- </t>
    </r>
    <r>
      <rPr>
        <b/>
        <sz val="11"/>
        <color rgb="FF000000"/>
        <rFont val="Calibri"/>
        <family val="2"/>
        <scheme val="minor"/>
      </rPr>
      <t>Perusahaa</t>
    </r>
    <r>
      <rPr>
        <sz val="11"/>
        <color rgb="FF000000"/>
        <rFont val="Calibri"/>
        <family val="2"/>
        <scheme val="minor"/>
      </rPr>
      <t>n : 7% dari Gaji Pokok</t>
    </r>
  </si>
  <si>
    <r>
      <t xml:space="preserve">- </t>
    </r>
    <r>
      <rPr>
        <b/>
        <sz val="11"/>
        <color rgb="FF000000"/>
        <rFont val="Calibri"/>
        <family val="2"/>
        <scheme val="minor"/>
      </rPr>
      <t>Karyawan</t>
    </r>
    <r>
      <rPr>
        <sz val="11"/>
        <color rgb="FF000000"/>
        <rFont val="Calibri"/>
        <family val="2"/>
        <scheme val="minor"/>
      </rPr>
      <t xml:space="preserve"> : 5% dari Gaji Pokok</t>
    </r>
  </si>
  <si>
    <r>
      <t xml:space="preserve">4. </t>
    </r>
    <r>
      <rPr>
        <b/>
        <sz val="11"/>
        <color rgb="FF000000"/>
        <rFont val="Calibri"/>
        <family val="2"/>
        <scheme val="minor"/>
      </rPr>
      <t>BPJS Kesehatan</t>
    </r>
    <r>
      <rPr>
        <sz val="11"/>
        <color rgb="FF000000"/>
        <rFont val="Calibri"/>
        <family val="2"/>
        <scheme val="minor"/>
      </rPr>
      <t xml:space="preserve"> :</t>
    </r>
  </si>
  <si>
    <r>
      <t xml:space="preserve">- </t>
    </r>
    <r>
      <rPr>
        <b/>
        <sz val="11"/>
        <color rgb="FF000000"/>
        <rFont val="Calibri"/>
        <family val="2"/>
        <scheme val="minor"/>
      </rPr>
      <t>Perusahaan</t>
    </r>
    <r>
      <rPr>
        <sz val="11"/>
        <color rgb="FF000000"/>
        <rFont val="Calibri"/>
        <family val="2"/>
        <scheme val="minor"/>
      </rPr>
      <t xml:space="preserve"> : 3% dari Gaji Pokok</t>
    </r>
  </si>
  <si>
    <r>
      <t xml:space="preserve">- </t>
    </r>
    <r>
      <rPr>
        <b/>
        <sz val="11"/>
        <color rgb="FF000000"/>
        <rFont val="Calibri"/>
        <family val="2"/>
        <scheme val="minor"/>
      </rPr>
      <t>Karyawan</t>
    </r>
    <r>
      <rPr>
        <sz val="11"/>
        <color rgb="FF000000"/>
        <rFont val="Calibri"/>
        <family val="2"/>
        <scheme val="minor"/>
      </rPr>
      <t xml:space="preserve"> : 2% dari Gaji Pokok</t>
    </r>
  </si>
  <si>
    <r>
      <t xml:space="preserve">5. </t>
    </r>
    <r>
      <rPr>
        <b/>
        <sz val="11"/>
        <color rgb="FF000000"/>
        <rFont val="Calibri"/>
        <family val="2"/>
        <scheme val="minor"/>
      </rPr>
      <t>Bonus PPh 21</t>
    </r>
    <r>
      <rPr>
        <sz val="11"/>
        <color rgb="FF000000"/>
        <rFont val="Calibri"/>
        <family val="2"/>
        <scheme val="minor"/>
      </rPr>
      <t xml:space="preserve"> : 8% dari Gaji Pokok</t>
    </r>
  </si>
  <si>
    <r>
      <t xml:space="preserve">6. </t>
    </r>
    <r>
      <rPr>
        <b/>
        <sz val="11"/>
        <color rgb="FF000000"/>
        <rFont val="Calibri"/>
        <family val="2"/>
        <scheme val="minor"/>
      </rPr>
      <t>Bonus Transport</t>
    </r>
    <r>
      <rPr>
        <sz val="11"/>
        <color rgb="FF000000"/>
        <rFont val="Calibri"/>
        <family val="2"/>
        <scheme val="minor"/>
      </rPr>
      <t xml:space="preserve"> :</t>
    </r>
  </si>
  <si>
    <t>SLIP GAJI BKDN SEJAHTERA</t>
  </si>
  <si>
    <t>:</t>
  </si>
  <si>
    <t>Tanggal</t>
  </si>
  <si>
    <t>PPh 21</t>
  </si>
  <si>
    <t>Total Penerimaan</t>
  </si>
  <si>
    <t>Gaji Bersih</t>
  </si>
  <si>
    <t>Terbilang</t>
  </si>
  <si>
    <t>Total Potongan</t>
  </si>
  <si>
    <t>DITERIMA</t>
  </si>
  <si>
    <t>DIPOTONG</t>
  </si>
  <si>
    <t>Empat Juta Enam Ratus Tujuh Puluh Satu Ribu Tiga Ratus Tujuh Puluh Empat Rupiah</t>
  </si>
  <si>
    <t>Sembilan Juta Sembilan Ratus Enam Puluh Ribu Dua Ratus Dua Puluh Sembilan Rupiah</t>
  </si>
  <si>
    <t>Enam Juta Tujuh Puluh Lima Ribu Tiga Ratus Tujuh Puluh Empat Rupiah</t>
  </si>
  <si>
    <t>(silahkan bisa dilanjutkan lagi untuk slip gaji, bisa di copy-paste untuk formatnya)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</si>
</sst>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p&quot;* #,##0_-;\-&quot;Rp&quot;* #,##0_-;_-&quot;Rp&quot;* &quot;-&quot;_-;_-@_-"/>
    <numFmt numFmtId="164" formatCode="d\-mmm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dashed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42" fontId="0" fillId="0" borderId="0" xfId="0" applyNumberFormat="1" applyFont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/>
    <xf numFmtId="0" fontId="0" fillId="0" borderId="0" xfId="0" applyFont="1" applyFill="1" applyBorder="1" applyAlignment="1">
      <alignment vertical="center"/>
    </xf>
    <xf numFmtId="42" fontId="0" fillId="0" borderId="0" xfId="1" applyFont="1"/>
    <xf numFmtId="0" fontId="6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42" fontId="0" fillId="0" borderId="1" xfId="1" applyFont="1" applyBorder="1"/>
    <xf numFmtId="42" fontId="0" fillId="0" borderId="1" xfId="0" applyNumberFormat="1" applyFont="1" applyBorder="1"/>
    <xf numFmtId="42" fontId="1" fillId="3" borderId="1" xfId="1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42" fontId="0" fillId="0" borderId="1" xfId="1" applyFont="1" applyBorder="1" applyAlignment="1">
      <alignment vertical="center"/>
    </xf>
    <xf numFmtId="0" fontId="0" fillId="0" borderId="1" xfId="1" applyNumberFormat="1" applyFont="1" applyBorder="1"/>
    <xf numFmtId="0" fontId="0" fillId="0" borderId="1" xfId="0" applyNumberFormat="1" applyFont="1" applyBorder="1"/>
    <xf numFmtId="0" fontId="0" fillId="0" borderId="6" xfId="0" applyFont="1" applyBorder="1"/>
    <xf numFmtId="0" fontId="6" fillId="0" borderId="0" xfId="0" applyFont="1" applyBorder="1"/>
    <xf numFmtId="0" fontId="0" fillId="0" borderId="7" xfId="0" applyFont="1" applyFill="1" applyBorder="1" applyAlignment="1">
      <alignment vertical="center"/>
    </xf>
    <xf numFmtId="0" fontId="0" fillId="0" borderId="7" xfId="0" applyFont="1" applyBorder="1"/>
    <xf numFmtId="42" fontId="0" fillId="0" borderId="0" xfId="1" applyFont="1" applyBorder="1"/>
    <xf numFmtId="42" fontId="0" fillId="0" borderId="10" xfId="1" applyFont="1" applyBorder="1"/>
    <xf numFmtId="0" fontId="0" fillId="0" borderId="10" xfId="0" applyFont="1" applyBorder="1"/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164" fontId="0" fillId="0" borderId="0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0" fillId="0" borderId="0" xfId="0" applyFont="1" applyBorder="1" applyAlignment="1">
      <alignment horizontal="left" vertical="center"/>
    </xf>
    <xf numFmtId="42" fontId="0" fillId="0" borderId="5" xfId="1" applyFont="1" applyBorder="1" applyAlignment="1">
      <alignment horizontal="center"/>
    </xf>
    <xf numFmtId="42" fontId="0" fillId="0" borderId="12" xfId="1" applyFont="1" applyBorder="1" applyAlignment="1">
      <alignment horizontal="center"/>
    </xf>
    <xf numFmtId="42" fontId="0" fillId="0" borderId="2" xfId="1" applyFont="1" applyBorder="1" applyAlignment="1">
      <alignment horizontal="center"/>
    </xf>
    <xf numFmtId="42" fontId="0" fillId="0" borderId="11" xfId="1" applyFont="1" applyBorder="1" applyAlignment="1">
      <alignment horizontal="center"/>
    </xf>
    <xf numFmtId="42" fontId="2" fillId="0" borderId="2" xfId="1" applyFont="1" applyBorder="1" applyAlignment="1">
      <alignment horizontal="center"/>
    </xf>
    <xf numFmtId="42" fontId="0" fillId="0" borderId="3" xfId="1" applyFont="1" applyBorder="1" applyAlignment="1">
      <alignment horizontal="center"/>
    </xf>
    <xf numFmtId="42" fontId="0" fillId="0" borderId="8" xfId="1" applyFont="1" applyBorder="1" applyAlignment="1">
      <alignment horizontal="center"/>
    </xf>
    <xf numFmtId="42" fontId="0" fillId="0" borderId="4" xfId="1" applyFont="1" applyBorder="1" applyAlignment="1">
      <alignment horizontal="center"/>
    </xf>
    <xf numFmtId="42" fontId="0" fillId="0" borderId="9" xfId="1" applyFont="1" applyBorder="1" applyAlignment="1">
      <alignment horizontal="center"/>
    </xf>
    <xf numFmtId="0" fontId="2" fillId="0" borderId="2" xfId="1" applyNumberFormat="1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0" fillId="0" borderId="2" xfId="1" applyNumberFormat="1" applyFont="1" applyBorder="1" applyAlignment="1">
      <alignment horizontal="center"/>
    </xf>
    <xf numFmtId="0" fontId="0" fillId="0" borderId="11" xfId="1" applyNumberFormat="1" applyFont="1" applyBorder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showGridLines="0" zoomScale="80" zoomScaleNormal="80" workbookViewId="0">
      <selection activeCell="F23" sqref="F23"/>
    </sheetView>
  </sheetViews>
  <sheetFormatPr defaultRowHeight="15" x14ac:dyDescent="0.25"/>
  <cols>
    <col min="1" max="1" width="6.42578125" style="1" customWidth="1"/>
    <col min="2" max="2" width="14.85546875" style="1" customWidth="1"/>
    <col min="3" max="3" width="18.5703125" style="1" customWidth="1"/>
    <col min="4" max="12" width="17.7109375" style="1" customWidth="1"/>
    <col min="13" max="16384" width="9.140625" style="1"/>
  </cols>
  <sheetData>
    <row r="1" spans="1:12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4" spans="1:12" x14ac:dyDescent="0.25">
      <c r="A4" s="31" t="s">
        <v>1</v>
      </c>
      <c r="B4" s="31" t="s">
        <v>4</v>
      </c>
      <c r="C4" s="31" t="s">
        <v>5</v>
      </c>
      <c r="D4" s="31" t="s">
        <v>2</v>
      </c>
      <c r="E4" s="31" t="s">
        <v>3</v>
      </c>
      <c r="F4" s="31" t="s">
        <v>6</v>
      </c>
      <c r="G4" s="31"/>
      <c r="H4" s="31" t="s">
        <v>9</v>
      </c>
      <c r="I4" s="31"/>
      <c r="J4" s="31" t="s">
        <v>10</v>
      </c>
      <c r="K4" s="31" t="s">
        <v>11</v>
      </c>
      <c r="L4" s="31" t="s">
        <v>12</v>
      </c>
    </row>
    <row r="5" spans="1:12" x14ac:dyDescent="0.25">
      <c r="A5" s="31"/>
      <c r="B5" s="31"/>
      <c r="C5" s="31"/>
      <c r="D5" s="31"/>
      <c r="E5" s="31"/>
      <c r="F5" s="12" t="s">
        <v>7</v>
      </c>
      <c r="G5" s="12" t="s">
        <v>8</v>
      </c>
      <c r="H5" s="12" t="s">
        <v>7</v>
      </c>
      <c r="I5" s="12" t="s">
        <v>8</v>
      </c>
      <c r="J5" s="31"/>
      <c r="K5" s="31"/>
      <c r="L5" s="31"/>
    </row>
    <row r="6" spans="1:12" x14ac:dyDescent="0.25">
      <c r="A6" s="13" t="s">
        <v>13</v>
      </c>
      <c r="B6" s="14" t="s">
        <v>14</v>
      </c>
      <c r="C6" s="14" t="s">
        <v>15</v>
      </c>
      <c r="D6" s="15">
        <f>VLOOKUP(C6,$B$21:$C$24,2,0)</f>
        <v>4200000</v>
      </c>
      <c r="E6" s="15">
        <f>IF(C6="Direksi",3000000,IF(C6="Personalia",1000000,IF(C6="Pemasaran",500000,0)))</f>
        <v>500000</v>
      </c>
      <c r="F6" s="16">
        <f>7%*D6</f>
        <v>294000</v>
      </c>
      <c r="G6" s="16">
        <f>5%*D6</f>
        <v>210000</v>
      </c>
      <c r="H6" s="16">
        <f>3%*D6</f>
        <v>126000</v>
      </c>
      <c r="I6" s="16">
        <f>2%*D6</f>
        <v>84000</v>
      </c>
      <c r="J6" s="16">
        <f>8%*D6</f>
        <v>336000</v>
      </c>
      <c r="K6" s="15">
        <f>IF(C6="Direksi",6%*D6,IF(C6="Personalia",4%*D6,0%))</f>
        <v>0</v>
      </c>
      <c r="L6" s="17">
        <v>898576</v>
      </c>
    </row>
    <row r="7" spans="1:12" x14ac:dyDescent="0.25">
      <c r="A7" s="13" t="s">
        <v>16</v>
      </c>
      <c r="B7" s="14" t="s">
        <v>17</v>
      </c>
      <c r="C7" s="14" t="s">
        <v>18</v>
      </c>
      <c r="D7" s="15">
        <f t="shared" ref="D7:D15" si="0">VLOOKUP(C7,$B$21:$C$24,2,0)</f>
        <v>7000000</v>
      </c>
      <c r="E7" s="15">
        <f t="shared" ref="E7:E15" si="1">IF(C7="Direksi",3000000,IF(C7="Personalia",1000000,IF(C7="Pemasaran",500000,0)))</f>
        <v>3000000</v>
      </c>
      <c r="F7" s="16">
        <f t="shared" ref="F7:F15" si="2">7%*D7</f>
        <v>490000.00000000006</v>
      </c>
      <c r="G7" s="16">
        <f t="shared" ref="G7:G15" si="3">5%*D7</f>
        <v>350000</v>
      </c>
      <c r="H7" s="16">
        <f t="shared" ref="H7:H15" si="4">3%*D7</f>
        <v>210000</v>
      </c>
      <c r="I7" s="16">
        <f t="shared" ref="I7:I15" si="5">2%*D7</f>
        <v>140000</v>
      </c>
      <c r="J7" s="16">
        <f t="shared" ref="J7:J15" si="6">8%*D7</f>
        <v>560000</v>
      </c>
      <c r="K7" s="15">
        <f>IF(C7="Direksi",6%*D7,IF(C7="Personalia",4%*D7,0%))</f>
        <v>420000</v>
      </c>
      <c r="L7" s="17">
        <v>669771</v>
      </c>
    </row>
    <row r="8" spans="1:12" x14ac:dyDescent="0.25">
      <c r="A8" s="13" t="s">
        <v>19</v>
      </c>
      <c r="B8" s="14" t="s">
        <v>20</v>
      </c>
      <c r="C8" s="14" t="s">
        <v>15</v>
      </c>
      <c r="D8" s="15">
        <f t="shared" si="0"/>
        <v>4200000</v>
      </c>
      <c r="E8" s="15">
        <f t="shared" si="1"/>
        <v>500000</v>
      </c>
      <c r="F8" s="16">
        <f t="shared" si="2"/>
        <v>294000</v>
      </c>
      <c r="G8" s="16">
        <f t="shared" si="3"/>
        <v>210000</v>
      </c>
      <c r="H8" s="16">
        <f t="shared" si="4"/>
        <v>126000</v>
      </c>
      <c r="I8" s="16">
        <f t="shared" si="5"/>
        <v>84000</v>
      </c>
      <c r="J8" s="16">
        <f t="shared" si="6"/>
        <v>336000</v>
      </c>
      <c r="K8" s="15">
        <f t="shared" ref="K8:K15" si="7">IF(C8="Direksi",6%*D8,IF(C8="Personalia",4%*D8,0%))</f>
        <v>0</v>
      </c>
      <c r="L8" s="17">
        <v>154626</v>
      </c>
    </row>
    <row r="9" spans="1:12" x14ac:dyDescent="0.25">
      <c r="A9" s="13" t="s">
        <v>21</v>
      </c>
      <c r="B9" s="14" t="s">
        <v>22</v>
      </c>
      <c r="C9" s="14" t="s">
        <v>23</v>
      </c>
      <c r="D9" s="15">
        <f t="shared" si="0"/>
        <v>5500000</v>
      </c>
      <c r="E9" s="15">
        <f t="shared" si="1"/>
        <v>1000000</v>
      </c>
      <c r="F9" s="16">
        <f t="shared" si="2"/>
        <v>385000.00000000006</v>
      </c>
      <c r="G9" s="16">
        <f t="shared" si="3"/>
        <v>275000</v>
      </c>
      <c r="H9" s="16">
        <f t="shared" si="4"/>
        <v>165000</v>
      </c>
      <c r="I9" s="16">
        <f t="shared" si="5"/>
        <v>110000</v>
      </c>
      <c r="J9" s="16">
        <f t="shared" si="6"/>
        <v>440000</v>
      </c>
      <c r="K9" s="15">
        <f t="shared" si="7"/>
        <v>220000</v>
      </c>
      <c r="L9" s="17">
        <v>809626</v>
      </c>
    </row>
    <row r="10" spans="1:12" x14ac:dyDescent="0.25">
      <c r="A10" s="13" t="s">
        <v>24</v>
      </c>
      <c r="B10" s="14" t="s">
        <v>25</v>
      </c>
      <c r="C10" s="14" t="s">
        <v>26</v>
      </c>
      <c r="D10" s="15">
        <f t="shared" si="0"/>
        <v>4000000</v>
      </c>
      <c r="E10" s="15">
        <f t="shared" si="1"/>
        <v>0</v>
      </c>
      <c r="F10" s="16">
        <f t="shared" si="2"/>
        <v>280000</v>
      </c>
      <c r="G10" s="16">
        <f t="shared" si="3"/>
        <v>200000</v>
      </c>
      <c r="H10" s="16">
        <f t="shared" si="4"/>
        <v>120000</v>
      </c>
      <c r="I10" s="16">
        <f t="shared" si="5"/>
        <v>80000</v>
      </c>
      <c r="J10" s="16">
        <f t="shared" si="6"/>
        <v>320000</v>
      </c>
      <c r="K10" s="15">
        <f t="shared" si="7"/>
        <v>0</v>
      </c>
      <c r="L10" s="17">
        <v>837807</v>
      </c>
    </row>
    <row r="11" spans="1:12" x14ac:dyDescent="0.25">
      <c r="A11" s="13" t="s">
        <v>27</v>
      </c>
      <c r="B11" s="14" t="s">
        <v>28</v>
      </c>
      <c r="C11" s="14" t="s">
        <v>15</v>
      </c>
      <c r="D11" s="15">
        <f t="shared" si="0"/>
        <v>4200000</v>
      </c>
      <c r="E11" s="15">
        <f t="shared" si="1"/>
        <v>500000</v>
      </c>
      <c r="F11" s="16">
        <f t="shared" si="2"/>
        <v>294000</v>
      </c>
      <c r="G11" s="16">
        <f t="shared" si="3"/>
        <v>210000</v>
      </c>
      <c r="H11" s="16">
        <f t="shared" si="4"/>
        <v>126000</v>
      </c>
      <c r="I11" s="16">
        <f t="shared" si="5"/>
        <v>84000</v>
      </c>
      <c r="J11" s="16">
        <f t="shared" si="6"/>
        <v>336000</v>
      </c>
      <c r="K11" s="15">
        <f t="shared" si="7"/>
        <v>0</v>
      </c>
      <c r="L11" s="17">
        <v>610394</v>
      </c>
    </row>
    <row r="12" spans="1:12" x14ac:dyDescent="0.25">
      <c r="A12" s="13" t="s">
        <v>29</v>
      </c>
      <c r="B12" s="14" t="s">
        <v>30</v>
      </c>
      <c r="C12" s="14" t="s">
        <v>23</v>
      </c>
      <c r="D12" s="15">
        <f t="shared" si="0"/>
        <v>5500000</v>
      </c>
      <c r="E12" s="15">
        <f t="shared" si="1"/>
        <v>1000000</v>
      </c>
      <c r="F12" s="16">
        <f t="shared" si="2"/>
        <v>385000.00000000006</v>
      </c>
      <c r="G12" s="16">
        <f t="shared" si="3"/>
        <v>275000</v>
      </c>
      <c r="H12" s="16">
        <f t="shared" si="4"/>
        <v>165000</v>
      </c>
      <c r="I12" s="16">
        <f t="shared" si="5"/>
        <v>110000</v>
      </c>
      <c r="J12" s="16">
        <f t="shared" si="6"/>
        <v>440000</v>
      </c>
      <c r="K12" s="15">
        <f t="shared" si="7"/>
        <v>220000</v>
      </c>
      <c r="L12" s="17">
        <v>124279</v>
      </c>
    </row>
    <row r="13" spans="1:12" x14ac:dyDescent="0.25">
      <c r="A13" s="13" t="s">
        <v>31</v>
      </c>
      <c r="B13" s="14" t="s">
        <v>32</v>
      </c>
      <c r="C13" s="14" t="s">
        <v>15</v>
      </c>
      <c r="D13" s="15">
        <f t="shared" si="0"/>
        <v>4200000</v>
      </c>
      <c r="E13" s="15">
        <f t="shared" si="1"/>
        <v>500000</v>
      </c>
      <c r="F13" s="16">
        <f t="shared" si="2"/>
        <v>294000</v>
      </c>
      <c r="G13" s="16">
        <f t="shared" si="3"/>
        <v>210000</v>
      </c>
      <c r="H13" s="16">
        <f t="shared" si="4"/>
        <v>126000</v>
      </c>
      <c r="I13" s="16">
        <f t="shared" si="5"/>
        <v>84000</v>
      </c>
      <c r="J13" s="16">
        <f t="shared" si="6"/>
        <v>336000</v>
      </c>
      <c r="K13" s="15">
        <f t="shared" si="7"/>
        <v>0</v>
      </c>
      <c r="L13" s="17">
        <v>361261</v>
      </c>
    </row>
    <row r="14" spans="1:12" x14ac:dyDescent="0.25">
      <c r="A14" s="13" t="s">
        <v>33</v>
      </c>
      <c r="B14" s="14" t="s">
        <v>34</v>
      </c>
      <c r="C14" s="14" t="s">
        <v>26</v>
      </c>
      <c r="D14" s="15">
        <f t="shared" si="0"/>
        <v>4000000</v>
      </c>
      <c r="E14" s="15">
        <f t="shared" si="1"/>
        <v>0</v>
      </c>
      <c r="F14" s="16">
        <f t="shared" si="2"/>
        <v>280000</v>
      </c>
      <c r="G14" s="16">
        <f t="shared" si="3"/>
        <v>200000</v>
      </c>
      <c r="H14" s="16">
        <f t="shared" si="4"/>
        <v>120000</v>
      </c>
      <c r="I14" s="16">
        <f t="shared" si="5"/>
        <v>80000</v>
      </c>
      <c r="J14" s="16">
        <f t="shared" si="6"/>
        <v>320000</v>
      </c>
      <c r="K14" s="15">
        <f t="shared" si="7"/>
        <v>0</v>
      </c>
      <c r="L14" s="17">
        <v>162308</v>
      </c>
    </row>
    <row r="15" spans="1:12" x14ac:dyDescent="0.25">
      <c r="A15" s="13" t="s">
        <v>35</v>
      </c>
      <c r="B15" s="14" t="s">
        <v>36</v>
      </c>
      <c r="C15" s="14" t="s">
        <v>15</v>
      </c>
      <c r="D15" s="15">
        <f t="shared" si="0"/>
        <v>4200000</v>
      </c>
      <c r="E15" s="15">
        <f t="shared" si="1"/>
        <v>500000</v>
      </c>
      <c r="F15" s="16">
        <f t="shared" si="2"/>
        <v>294000</v>
      </c>
      <c r="G15" s="16">
        <f t="shared" si="3"/>
        <v>210000</v>
      </c>
      <c r="H15" s="16">
        <f t="shared" si="4"/>
        <v>126000</v>
      </c>
      <c r="I15" s="16">
        <f t="shared" si="5"/>
        <v>84000</v>
      </c>
      <c r="J15" s="16">
        <f t="shared" si="6"/>
        <v>336000</v>
      </c>
      <c r="K15" s="15">
        <f t="shared" si="7"/>
        <v>0</v>
      </c>
      <c r="L15" s="17">
        <v>356221</v>
      </c>
    </row>
    <row r="18" spans="1:6" x14ac:dyDescent="0.25">
      <c r="A18" s="32" t="s">
        <v>37</v>
      </c>
      <c r="B18" s="32"/>
      <c r="C18" s="32"/>
      <c r="D18" s="2"/>
      <c r="F18" s="5"/>
    </row>
    <row r="19" spans="1:6" x14ac:dyDescent="0.25">
      <c r="A19" s="33" t="s">
        <v>38</v>
      </c>
      <c r="B19" s="33" t="s">
        <v>5</v>
      </c>
      <c r="C19" s="33" t="s">
        <v>2</v>
      </c>
      <c r="D19" s="2" t="s">
        <v>39</v>
      </c>
    </row>
    <row r="20" spans="1:6" x14ac:dyDescent="0.25">
      <c r="A20" s="33"/>
      <c r="B20" s="33"/>
      <c r="C20" s="33"/>
      <c r="D20" s="2" t="s">
        <v>40</v>
      </c>
    </row>
    <row r="21" spans="1:6" x14ac:dyDescent="0.25">
      <c r="A21" s="18">
        <v>1</v>
      </c>
      <c r="B21" s="19" t="s">
        <v>18</v>
      </c>
      <c r="C21" s="20">
        <v>7000000</v>
      </c>
      <c r="D21" s="2"/>
    </row>
    <row r="22" spans="1:6" x14ac:dyDescent="0.25">
      <c r="A22" s="18">
        <v>2</v>
      </c>
      <c r="B22" s="19" t="s">
        <v>23</v>
      </c>
      <c r="C22" s="20">
        <v>5500000</v>
      </c>
      <c r="D22" s="2"/>
    </row>
    <row r="23" spans="1:6" x14ac:dyDescent="0.25">
      <c r="A23" s="18">
        <v>3</v>
      </c>
      <c r="B23" s="19" t="s">
        <v>15</v>
      </c>
      <c r="C23" s="20">
        <v>4200000</v>
      </c>
      <c r="D23" s="2"/>
    </row>
    <row r="24" spans="1:6" x14ac:dyDescent="0.25">
      <c r="A24" s="18">
        <v>4</v>
      </c>
      <c r="B24" s="19" t="s">
        <v>26</v>
      </c>
      <c r="C24" s="20">
        <v>4000000</v>
      </c>
      <c r="D24" s="2"/>
    </row>
    <row r="27" spans="1:6" x14ac:dyDescent="0.25">
      <c r="A27" s="3" t="s">
        <v>41</v>
      </c>
    </row>
    <row r="28" spans="1:6" x14ac:dyDescent="0.25">
      <c r="A28" s="4" t="s">
        <v>47</v>
      </c>
    </row>
    <row r="29" spans="1:6" x14ac:dyDescent="0.25">
      <c r="A29" s="4" t="s">
        <v>48</v>
      </c>
    </row>
    <row r="30" spans="1:6" x14ac:dyDescent="0.25">
      <c r="A30" s="4" t="s">
        <v>42</v>
      </c>
    </row>
    <row r="31" spans="1:6" x14ac:dyDescent="0.25">
      <c r="A31" s="4" t="s">
        <v>43</v>
      </c>
    </row>
    <row r="32" spans="1:6" x14ac:dyDescent="0.25">
      <c r="A32" s="4" t="s">
        <v>44</v>
      </c>
    </row>
    <row r="33" spans="1:1" x14ac:dyDescent="0.25">
      <c r="A33" s="4" t="s">
        <v>49</v>
      </c>
    </row>
    <row r="34" spans="1:1" x14ac:dyDescent="0.25">
      <c r="A34" s="4" t="s">
        <v>50</v>
      </c>
    </row>
    <row r="35" spans="1:1" x14ac:dyDescent="0.25">
      <c r="A35" s="4" t="s">
        <v>51</v>
      </c>
    </row>
    <row r="36" spans="1:1" x14ac:dyDescent="0.25">
      <c r="A36" s="4" t="s">
        <v>52</v>
      </c>
    </row>
    <row r="37" spans="1:1" x14ac:dyDescent="0.25">
      <c r="A37" s="4" t="s">
        <v>53</v>
      </c>
    </row>
    <row r="38" spans="1:1" x14ac:dyDescent="0.25">
      <c r="A38" s="4" t="s">
        <v>54</v>
      </c>
    </row>
    <row r="39" spans="1:1" x14ac:dyDescent="0.25">
      <c r="A39" s="4" t="s">
        <v>55</v>
      </c>
    </row>
    <row r="40" spans="1:1" x14ac:dyDescent="0.25">
      <c r="A40" s="4" t="s">
        <v>56</v>
      </c>
    </row>
    <row r="41" spans="1:1" x14ac:dyDescent="0.25">
      <c r="A41" s="4" t="s">
        <v>45</v>
      </c>
    </row>
    <row r="42" spans="1:1" x14ac:dyDescent="0.25">
      <c r="A42" s="4" t="s">
        <v>46</v>
      </c>
    </row>
  </sheetData>
  <mergeCells count="15">
    <mergeCell ref="A19:A20"/>
    <mergeCell ref="B19:B20"/>
    <mergeCell ref="C19:C20"/>
    <mergeCell ref="F4:G4"/>
    <mergeCell ref="H4:I4"/>
    <mergeCell ref="A4:A5"/>
    <mergeCell ref="B4:B5"/>
    <mergeCell ref="C4:C5"/>
    <mergeCell ref="D4:D5"/>
    <mergeCell ref="E4:E5"/>
    <mergeCell ref="A1:L2"/>
    <mergeCell ref="J4:J5"/>
    <mergeCell ref="K4:K5"/>
    <mergeCell ref="L4:L5"/>
    <mergeCell ref="A18:C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63"/>
  <sheetViews>
    <sheetView showGridLines="0" tabSelected="1" zoomScale="73" zoomScaleNormal="73" workbookViewId="0">
      <selection activeCell="U1" sqref="U1"/>
    </sheetView>
  </sheetViews>
  <sheetFormatPr defaultRowHeight="15" x14ac:dyDescent="0.25"/>
  <cols>
    <col min="1" max="1" width="9.140625" style="1"/>
    <col min="2" max="2" width="15.42578125" style="1" customWidth="1"/>
    <col min="3" max="3" width="2.85546875" style="1" customWidth="1"/>
    <col min="4" max="4" width="9.140625" style="1"/>
    <col min="5" max="5" width="2.42578125" style="1" customWidth="1"/>
    <col min="6" max="10" width="9.140625" style="1"/>
    <col min="11" max="11" width="2.5703125" style="1" customWidth="1"/>
    <col min="12" max="12" width="16.28515625" style="1" bestFit="1" customWidth="1"/>
    <col min="13" max="13" width="3.140625" style="1" customWidth="1"/>
    <col min="14" max="16384" width="9.140625" style="1"/>
  </cols>
  <sheetData>
    <row r="2" spans="2:22" x14ac:dyDescent="0.25">
      <c r="B2" s="32" t="s">
        <v>57</v>
      </c>
      <c r="C2" s="32"/>
      <c r="D2" s="32"/>
      <c r="E2" s="32"/>
      <c r="F2" s="32"/>
    </row>
    <row r="3" spans="2:22" x14ac:dyDescent="0.25">
      <c r="B3" s="6"/>
      <c r="C3" s="6"/>
      <c r="D3" s="6"/>
      <c r="E3" s="6"/>
      <c r="F3" s="6"/>
    </row>
    <row r="4" spans="2:22" x14ac:dyDescent="0.25">
      <c r="B4" s="7" t="s">
        <v>1</v>
      </c>
      <c r="C4" s="7" t="s">
        <v>58</v>
      </c>
      <c r="D4" s="38" t="s">
        <v>19</v>
      </c>
      <c r="E4" s="38"/>
      <c r="F4" s="38"/>
    </row>
    <row r="5" spans="2:22" x14ac:dyDescent="0.25">
      <c r="B5" s="7" t="s">
        <v>4</v>
      </c>
      <c r="C5" s="7" t="s">
        <v>58</v>
      </c>
      <c r="D5" s="38" t="str">
        <f>VLOOKUP(D4,'Jawaban Data Karyawan'!$A$6:$L$15,2,0)</f>
        <v>Zahra</v>
      </c>
      <c r="E5" s="38"/>
      <c r="F5" s="38"/>
    </row>
    <row r="6" spans="2:22" x14ac:dyDescent="0.25">
      <c r="B6" s="7" t="s">
        <v>5</v>
      </c>
      <c r="C6" s="7" t="s">
        <v>58</v>
      </c>
      <c r="D6" s="38" t="str">
        <f>VLOOKUP(D4,'Jawaban Data Karyawan'!$A$6:$L$15,3,0)</f>
        <v>Pemasaran</v>
      </c>
      <c r="E6" s="38"/>
      <c r="F6" s="38"/>
    </row>
    <row r="7" spans="2:22" x14ac:dyDescent="0.25">
      <c r="B7" s="7" t="s">
        <v>59</v>
      </c>
      <c r="C7" s="7" t="s">
        <v>58</v>
      </c>
      <c r="D7" s="36">
        <f ca="1">TODAY()</f>
        <v>46051</v>
      </c>
      <c r="E7" s="36"/>
      <c r="F7" s="36"/>
      <c r="V7" s="8"/>
    </row>
    <row r="8" spans="2:22" x14ac:dyDescent="0.25">
      <c r="V8" s="8"/>
    </row>
    <row r="9" spans="2:22" x14ac:dyDescent="0.25">
      <c r="B9" s="37" t="s">
        <v>65</v>
      </c>
      <c r="C9" s="37"/>
      <c r="D9" s="37"/>
      <c r="E9" s="37"/>
      <c r="F9" s="37"/>
      <c r="G9" s="37"/>
      <c r="H9" s="37" t="s">
        <v>66</v>
      </c>
      <c r="I9" s="37"/>
      <c r="J9" s="37"/>
      <c r="K9" s="37"/>
      <c r="L9" s="37"/>
      <c r="M9" s="37"/>
    </row>
    <row r="10" spans="2:22" x14ac:dyDescent="0.25">
      <c r="B10" s="25" t="s">
        <v>2</v>
      </c>
      <c r="C10" s="26"/>
      <c r="D10" s="26"/>
      <c r="E10" s="26" t="s">
        <v>58</v>
      </c>
      <c r="F10" s="44">
        <f>VLOOKUP(D4,'Jawaban Data Karyawan'!$A$6:$L$15,4,0)</f>
        <v>4200000</v>
      </c>
      <c r="G10" s="45"/>
      <c r="H10" s="8" t="s">
        <v>60</v>
      </c>
      <c r="I10" s="8"/>
      <c r="J10" s="8"/>
      <c r="K10" s="1" t="s">
        <v>58</v>
      </c>
      <c r="L10" s="39">
        <f>VLOOKUP(D4,'Jawaban Data Karyawan'!$A$6:$L$15,10,0)</f>
        <v>336000</v>
      </c>
      <c r="M10" s="39"/>
    </row>
    <row r="11" spans="2:22" x14ac:dyDescent="0.25">
      <c r="B11" s="9" t="s">
        <v>3</v>
      </c>
      <c r="C11" s="8"/>
      <c r="D11" s="8"/>
      <c r="E11" s="8" t="s">
        <v>58</v>
      </c>
      <c r="F11" s="44">
        <f>VLOOKUP(D4,'Jawaban Data Karyawan'!$A$6:$L$15,5,0)</f>
        <v>500000</v>
      </c>
      <c r="G11" s="45"/>
      <c r="H11" s="8" t="s">
        <v>6</v>
      </c>
      <c r="K11" s="1" t="s">
        <v>58</v>
      </c>
      <c r="L11" s="39">
        <f>VLOOKUP(D4,'Jawaban Data Karyawan'!$A$6:$L$15,7,0)</f>
        <v>210000</v>
      </c>
      <c r="M11" s="39"/>
    </row>
    <row r="12" spans="2:22" x14ac:dyDescent="0.25">
      <c r="B12" s="9" t="s">
        <v>6</v>
      </c>
      <c r="C12" s="8"/>
      <c r="D12" s="8"/>
      <c r="E12" s="8" t="s">
        <v>58</v>
      </c>
      <c r="F12" s="44">
        <f>VLOOKUP(D4,'Jawaban Data Karyawan'!$A$6:$L$15,6,0)</f>
        <v>294000</v>
      </c>
      <c r="G12" s="45"/>
      <c r="H12" s="8" t="s">
        <v>9</v>
      </c>
      <c r="K12" s="1" t="s">
        <v>58</v>
      </c>
      <c r="L12" s="39">
        <f>VLOOKUP(D4,'Jawaban Data Karyawan'!$A$6:$L$15,9,0)</f>
        <v>84000</v>
      </c>
      <c r="M12" s="39"/>
    </row>
    <row r="13" spans="2:22" x14ac:dyDescent="0.25">
      <c r="B13" s="9" t="s">
        <v>9</v>
      </c>
      <c r="C13" s="8"/>
      <c r="D13" s="8"/>
      <c r="E13" s="8" t="s">
        <v>58</v>
      </c>
      <c r="F13" s="44">
        <f>VLOOKUP(D4,'Jawaban Data Karyawan'!$A$6:$L$15,8,0)</f>
        <v>126000</v>
      </c>
      <c r="G13" s="45"/>
      <c r="H13" s="8" t="s">
        <v>12</v>
      </c>
      <c r="K13" s="1" t="s">
        <v>58</v>
      </c>
      <c r="L13" s="39">
        <f>VLOOKUP(D4,'Jawaban Data Karyawan'!$A$6:$L$15,12,0)</f>
        <v>154626</v>
      </c>
      <c r="M13" s="39"/>
    </row>
    <row r="14" spans="2:22" x14ac:dyDescent="0.25">
      <c r="B14" s="9" t="s">
        <v>60</v>
      </c>
      <c r="C14" s="8"/>
      <c r="D14" s="8"/>
      <c r="E14" s="8" t="s">
        <v>58</v>
      </c>
      <c r="F14" s="44">
        <f>VLOOKUP(D4,'Jawaban Data Karyawan'!$A$6:$L$15,10,0)</f>
        <v>336000</v>
      </c>
      <c r="G14" s="45"/>
      <c r="H14" s="8"/>
      <c r="L14" s="10"/>
      <c r="M14" s="10"/>
    </row>
    <row r="15" spans="2:22" x14ac:dyDescent="0.25">
      <c r="B15" s="9" t="s">
        <v>11</v>
      </c>
      <c r="C15" s="8"/>
      <c r="D15" s="8"/>
      <c r="E15" s="8" t="s">
        <v>58</v>
      </c>
      <c r="F15" s="46">
        <f>VLOOKUP(D4,'Jawaban Data Karyawan'!$A$6:$L$15,11,0)</f>
        <v>0</v>
      </c>
      <c r="G15" s="47"/>
      <c r="H15" s="8"/>
      <c r="L15" s="10"/>
      <c r="M15" s="10"/>
    </row>
    <row r="16" spans="2:22" x14ac:dyDescent="0.25">
      <c r="B16" s="8"/>
      <c r="C16" s="8"/>
      <c r="D16" s="8"/>
      <c r="E16" s="8"/>
      <c r="F16" s="27"/>
      <c r="G16" s="28"/>
      <c r="H16" s="8"/>
      <c r="L16" s="10"/>
      <c r="M16" s="10"/>
    </row>
    <row r="17" spans="2:17" x14ac:dyDescent="0.25">
      <c r="B17" s="9" t="s">
        <v>61</v>
      </c>
      <c r="C17" s="8"/>
      <c r="D17" s="8"/>
      <c r="E17" s="8" t="s">
        <v>58</v>
      </c>
      <c r="F17" s="41">
        <f>SUM(F10:G15)</f>
        <v>5456000</v>
      </c>
      <c r="G17" s="42"/>
      <c r="H17" s="8" t="s">
        <v>64</v>
      </c>
      <c r="K17" s="1" t="s">
        <v>58</v>
      </c>
      <c r="L17" s="41">
        <f>SUM(L10:M13)</f>
        <v>784626</v>
      </c>
      <c r="M17" s="41"/>
    </row>
    <row r="18" spans="2:17" x14ac:dyDescent="0.25">
      <c r="B18" s="8"/>
      <c r="C18" s="8"/>
      <c r="D18" s="8"/>
      <c r="E18" s="8"/>
      <c r="F18" s="8"/>
      <c r="G18" s="29"/>
      <c r="H18" s="8"/>
      <c r="L18" s="10"/>
      <c r="M18" s="10"/>
    </row>
    <row r="19" spans="2:17" x14ac:dyDescent="0.25">
      <c r="B19" s="34" t="s">
        <v>62</v>
      </c>
      <c r="C19" s="34"/>
      <c r="D19" s="34"/>
      <c r="E19" s="34"/>
      <c r="F19" s="34"/>
      <c r="G19" s="35"/>
      <c r="H19" s="8"/>
      <c r="K19" s="1" t="s">
        <v>58</v>
      </c>
      <c r="L19" s="43">
        <f>F17-L17</f>
        <v>4671374</v>
      </c>
      <c r="M19" s="43"/>
    </row>
    <row r="20" spans="2:17" x14ac:dyDescent="0.25">
      <c r="B20" s="34" t="s">
        <v>63</v>
      </c>
      <c r="C20" s="34"/>
      <c r="D20" s="34"/>
      <c r="E20" s="34"/>
      <c r="F20" s="34"/>
      <c r="G20" s="35"/>
      <c r="H20" s="24" t="s">
        <v>67</v>
      </c>
      <c r="I20" s="11"/>
      <c r="J20" s="11"/>
      <c r="K20" s="11"/>
      <c r="L20" s="11"/>
      <c r="M20" s="11"/>
      <c r="N20" s="11"/>
      <c r="O20" s="11"/>
      <c r="P20" s="11"/>
      <c r="Q20" s="11"/>
    </row>
    <row r="21" spans="2:17" x14ac:dyDescent="0.25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2:17" x14ac:dyDescent="0.25">
      <c r="B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2:17" x14ac:dyDescent="0.25">
      <c r="B23" s="32" t="s">
        <v>57</v>
      </c>
      <c r="C23" s="32"/>
      <c r="D23" s="32"/>
      <c r="E23" s="32"/>
      <c r="F23" s="32"/>
    </row>
    <row r="24" spans="2:17" x14ac:dyDescent="0.25">
      <c r="B24" s="6"/>
      <c r="C24" s="6"/>
      <c r="D24" s="6"/>
      <c r="E24" s="6"/>
      <c r="F24" s="6"/>
    </row>
    <row r="25" spans="2:17" x14ac:dyDescent="0.25">
      <c r="B25" s="7" t="s">
        <v>1</v>
      </c>
      <c r="C25" s="7" t="s">
        <v>58</v>
      </c>
      <c r="D25" s="38" t="s">
        <v>21</v>
      </c>
      <c r="E25" s="38"/>
      <c r="F25" s="38"/>
    </row>
    <row r="26" spans="2:17" x14ac:dyDescent="0.25">
      <c r="B26" s="7" t="s">
        <v>4</v>
      </c>
      <c r="C26" s="7" t="s">
        <v>58</v>
      </c>
      <c r="D26" s="38" t="str">
        <f>VLOOKUP(D25,'Jawaban Data Karyawan'!$A$6:$L$15,2,0)</f>
        <v>Faiz</v>
      </c>
      <c r="E26" s="38"/>
      <c r="F26" s="38"/>
    </row>
    <row r="27" spans="2:17" x14ac:dyDescent="0.25">
      <c r="B27" s="7" t="s">
        <v>5</v>
      </c>
      <c r="C27" s="7" t="s">
        <v>58</v>
      </c>
      <c r="D27" s="38" t="str">
        <f>VLOOKUP(D25,'Jawaban Data Karyawan'!$A$6:$L$15,3,0)</f>
        <v>Personalia</v>
      </c>
      <c r="E27" s="38"/>
      <c r="F27" s="38"/>
    </row>
    <row r="28" spans="2:17" x14ac:dyDescent="0.25">
      <c r="B28" s="7" t="s">
        <v>59</v>
      </c>
      <c r="C28" s="7" t="s">
        <v>58</v>
      </c>
      <c r="D28" s="36">
        <f ca="1">TODAY()</f>
        <v>46051</v>
      </c>
      <c r="E28" s="36"/>
      <c r="F28" s="36"/>
    </row>
    <row r="30" spans="2:17" x14ac:dyDescent="0.25">
      <c r="B30" s="37" t="s">
        <v>65</v>
      </c>
      <c r="C30" s="37"/>
      <c r="D30" s="37"/>
      <c r="E30" s="37"/>
      <c r="F30" s="37"/>
      <c r="G30" s="37"/>
      <c r="H30" s="37" t="s">
        <v>66</v>
      </c>
      <c r="I30" s="37"/>
      <c r="J30" s="37"/>
      <c r="K30" s="37"/>
      <c r="L30" s="37"/>
      <c r="M30" s="37"/>
    </row>
    <row r="31" spans="2:17" x14ac:dyDescent="0.25">
      <c r="B31" s="25" t="s">
        <v>2</v>
      </c>
      <c r="C31" s="26"/>
      <c r="D31" s="26"/>
      <c r="E31" s="26" t="s">
        <v>58</v>
      </c>
      <c r="F31" s="39">
        <f>VLOOKUP(D25,'Jawaban Data Karyawan'!$A$6:$L$15,4,0)</f>
        <v>5500000</v>
      </c>
      <c r="G31" s="40"/>
      <c r="H31" s="8" t="s">
        <v>60</v>
      </c>
      <c r="I31" s="8"/>
      <c r="J31" s="8"/>
      <c r="K31" s="1" t="s">
        <v>58</v>
      </c>
      <c r="L31" s="39">
        <f>VLOOKUP(D25,'Jawaban Data Karyawan'!$A$6:$L$15,10,0)</f>
        <v>440000</v>
      </c>
      <c r="M31" s="39"/>
    </row>
    <row r="32" spans="2:17" x14ac:dyDescent="0.25">
      <c r="B32" s="9" t="s">
        <v>3</v>
      </c>
      <c r="C32" s="8"/>
      <c r="D32" s="8"/>
      <c r="E32" s="8" t="s">
        <v>58</v>
      </c>
      <c r="F32" s="39">
        <f>VLOOKUP(D25,'Jawaban Data Karyawan'!$A$6:$L$15,5,0)</f>
        <v>1000000</v>
      </c>
      <c r="G32" s="40"/>
      <c r="H32" s="8" t="s">
        <v>6</v>
      </c>
      <c r="K32" s="1" t="s">
        <v>58</v>
      </c>
      <c r="L32" s="39">
        <f>VLOOKUP(D25,'Jawaban Data Karyawan'!$A$6:$L$15,7,0)</f>
        <v>275000</v>
      </c>
      <c r="M32" s="39"/>
    </row>
    <row r="33" spans="2:15" x14ac:dyDescent="0.25">
      <c r="B33" s="9" t="s">
        <v>6</v>
      </c>
      <c r="C33" s="8"/>
      <c r="D33" s="8"/>
      <c r="E33" s="8" t="s">
        <v>58</v>
      </c>
      <c r="F33" s="39">
        <f>VLOOKUP(D25,'Jawaban Data Karyawan'!$A$6:$L$16,6,0)</f>
        <v>385000.00000000006</v>
      </c>
      <c r="G33" s="40"/>
      <c r="H33" s="8" t="s">
        <v>9</v>
      </c>
      <c r="K33" s="1" t="s">
        <v>58</v>
      </c>
      <c r="L33" s="39">
        <f>VLOOKUP(D25,'Jawaban Data Karyawan'!$A$6:$L$15,9,)</f>
        <v>110000</v>
      </c>
      <c r="M33" s="39"/>
    </row>
    <row r="34" spans="2:15" x14ac:dyDescent="0.25">
      <c r="B34" s="9" t="s">
        <v>9</v>
      </c>
      <c r="C34" s="8"/>
      <c r="D34" s="8"/>
      <c r="E34" s="8" t="s">
        <v>58</v>
      </c>
      <c r="F34" s="39">
        <f>VLOOKUP(D25,'Jawaban Data Karyawan'!$A$6:$L$15,8,0)</f>
        <v>165000</v>
      </c>
      <c r="G34" s="40"/>
      <c r="H34" s="8" t="s">
        <v>12</v>
      </c>
      <c r="K34" s="1" t="s">
        <v>58</v>
      </c>
      <c r="L34" s="39">
        <f>VLOOKUP(D25,'Jawaban Data Karyawan'!$A$6:$L$15,12,0)</f>
        <v>809626</v>
      </c>
      <c r="M34" s="39"/>
    </row>
    <row r="35" spans="2:15" x14ac:dyDescent="0.25">
      <c r="B35" s="9" t="s">
        <v>60</v>
      </c>
      <c r="C35" s="8"/>
      <c r="D35" s="8"/>
      <c r="E35" s="8" t="s">
        <v>58</v>
      </c>
      <c r="F35" s="39">
        <f>VLOOKUP(D25,'Jawaban Data Karyawan'!$A$6:$L$15,10,0)</f>
        <v>440000</v>
      </c>
      <c r="G35" s="40"/>
      <c r="H35" s="8"/>
      <c r="L35" s="10"/>
      <c r="M35" s="10"/>
    </row>
    <row r="36" spans="2:15" x14ac:dyDescent="0.25">
      <c r="B36" s="9" t="s">
        <v>11</v>
      </c>
      <c r="C36" s="8"/>
      <c r="D36" s="8"/>
      <c r="E36" s="8" t="s">
        <v>58</v>
      </c>
      <c r="F36" s="39">
        <f>VLOOKUP(D25,'Jawaban Data Karyawan'!$A$6:$L$15,11,0)</f>
        <v>220000</v>
      </c>
      <c r="G36" s="40"/>
      <c r="H36" s="8"/>
      <c r="L36" s="10"/>
      <c r="M36" s="10"/>
    </row>
    <row r="37" spans="2:15" x14ac:dyDescent="0.25">
      <c r="B37" s="8"/>
      <c r="C37" s="8"/>
      <c r="D37" s="8"/>
      <c r="E37" s="8"/>
      <c r="F37" s="27"/>
      <c r="G37" s="28"/>
      <c r="H37" s="8"/>
      <c r="L37" s="10"/>
      <c r="M37" s="10"/>
    </row>
    <row r="38" spans="2:15" x14ac:dyDescent="0.25">
      <c r="B38" s="9" t="s">
        <v>61</v>
      </c>
      <c r="C38" s="8"/>
      <c r="D38" s="8"/>
      <c r="E38" s="8" t="s">
        <v>58</v>
      </c>
      <c r="F38" s="41">
        <f>SUM(F31:G36)</f>
        <v>7710000</v>
      </c>
      <c r="G38" s="42"/>
      <c r="H38" s="8" t="s">
        <v>64</v>
      </c>
      <c r="K38" s="1" t="s">
        <v>58</v>
      </c>
      <c r="L38" s="41">
        <f>SUM(L31:M34)</f>
        <v>1634626</v>
      </c>
      <c r="M38" s="41"/>
    </row>
    <row r="39" spans="2:15" x14ac:dyDescent="0.25">
      <c r="B39" s="8"/>
      <c r="C39" s="8"/>
      <c r="D39" s="8"/>
      <c r="E39" s="8"/>
      <c r="F39" s="8"/>
      <c r="G39" s="29"/>
      <c r="H39" s="8"/>
      <c r="L39" s="10"/>
      <c r="M39" s="10"/>
    </row>
    <row r="40" spans="2:15" x14ac:dyDescent="0.25">
      <c r="B40" s="34" t="s">
        <v>62</v>
      </c>
      <c r="C40" s="34"/>
      <c r="D40" s="34"/>
      <c r="E40" s="34"/>
      <c r="F40" s="34"/>
      <c r="G40" s="35"/>
      <c r="H40" s="8"/>
      <c r="K40" s="1" t="s">
        <v>58</v>
      </c>
      <c r="L40" s="43">
        <f>F38-L38</f>
        <v>6075374</v>
      </c>
      <c r="M40" s="43"/>
    </row>
    <row r="41" spans="2:15" x14ac:dyDescent="0.25">
      <c r="B41" s="34" t="s">
        <v>63</v>
      </c>
      <c r="C41" s="34"/>
      <c r="D41" s="34"/>
      <c r="E41" s="34"/>
      <c r="F41" s="34"/>
      <c r="G41" s="35"/>
      <c r="H41" s="24" t="s">
        <v>69</v>
      </c>
      <c r="I41" s="11"/>
      <c r="J41" s="11"/>
      <c r="K41" s="11"/>
      <c r="L41" s="11"/>
      <c r="M41" s="11"/>
      <c r="N41" s="11"/>
      <c r="O41" s="11"/>
    </row>
    <row r="43" spans="2:15" x14ac:dyDescent="0.25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2:15" x14ac:dyDescent="0.25">
      <c r="B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2:15" x14ac:dyDescent="0.25">
      <c r="B45" s="32" t="s">
        <v>57</v>
      </c>
      <c r="C45" s="32"/>
      <c r="D45" s="32"/>
      <c r="E45" s="32"/>
      <c r="F45" s="32"/>
    </row>
    <row r="46" spans="2:15" x14ac:dyDescent="0.25">
      <c r="B46" s="6"/>
      <c r="C46" s="6"/>
      <c r="D46" s="6"/>
      <c r="E46" s="6"/>
      <c r="F46" s="6"/>
    </row>
    <row r="47" spans="2:15" x14ac:dyDescent="0.25">
      <c r="B47" s="7" t="s">
        <v>1</v>
      </c>
      <c r="C47" s="7" t="s">
        <v>58</v>
      </c>
      <c r="D47" s="38" t="s">
        <v>16</v>
      </c>
      <c r="E47" s="38"/>
      <c r="F47" s="38"/>
    </row>
    <row r="48" spans="2:15" x14ac:dyDescent="0.25">
      <c r="B48" s="7" t="s">
        <v>4</v>
      </c>
      <c r="C48" s="7" t="s">
        <v>58</v>
      </c>
      <c r="D48" s="38" t="str">
        <f>VLOOKUP(D47,'Jawaban Data Karyawan'!$A$6:$L$15,2,0)</f>
        <v>Susi</v>
      </c>
      <c r="E48" s="38"/>
      <c r="F48" s="38"/>
    </row>
    <row r="49" spans="2:18" x14ac:dyDescent="0.25">
      <c r="B49" s="7" t="s">
        <v>5</v>
      </c>
      <c r="C49" s="7" t="s">
        <v>58</v>
      </c>
      <c r="D49" s="38" t="str">
        <f>VLOOKUP(D47,'Jawaban Data Karyawan'!$A$6:$L$15,3,0)</f>
        <v>Direksi</v>
      </c>
      <c r="E49" s="38"/>
      <c r="F49" s="38"/>
    </row>
    <row r="50" spans="2:18" x14ac:dyDescent="0.25">
      <c r="B50" s="7" t="s">
        <v>59</v>
      </c>
      <c r="C50" s="7" t="s">
        <v>58</v>
      </c>
      <c r="D50" s="36">
        <f ca="1">TODAY()</f>
        <v>46051</v>
      </c>
      <c r="E50" s="36"/>
      <c r="F50" s="36"/>
    </row>
    <row r="52" spans="2:18" x14ac:dyDescent="0.25">
      <c r="B52" s="37" t="s">
        <v>65</v>
      </c>
      <c r="C52" s="37"/>
      <c r="D52" s="37"/>
      <c r="E52" s="37"/>
      <c r="F52" s="37"/>
      <c r="G52" s="37"/>
      <c r="H52" s="37" t="s">
        <v>66</v>
      </c>
      <c r="I52" s="37"/>
      <c r="J52" s="37"/>
      <c r="K52" s="37"/>
      <c r="L52" s="37"/>
      <c r="M52" s="37"/>
    </row>
    <row r="53" spans="2:18" x14ac:dyDescent="0.25">
      <c r="B53" s="25" t="s">
        <v>2</v>
      </c>
      <c r="C53" s="26"/>
      <c r="D53" s="26"/>
      <c r="E53" s="26" t="s">
        <v>58</v>
      </c>
      <c r="F53" s="39">
        <f>VLOOKUP(D47,'Jawaban Data Karyawan'!$A$6:$L$15,4,0)</f>
        <v>7000000</v>
      </c>
      <c r="G53" s="40"/>
      <c r="H53" s="8" t="s">
        <v>60</v>
      </c>
      <c r="I53" s="8"/>
      <c r="J53" s="8"/>
      <c r="K53" s="1" t="s">
        <v>58</v>
      </c>
      <c r="L53" s="39">
        <f>VLOOKUP(D47,'Jawaban Data Karyawan'!$A$6:$L$15,10,0)</f>
        <v>560000</v>
      </c>
      <c r="M53" s="39"/>
    </row>
    <row r="54" spans="2:18" x14ac:dyDescent="0.25">
      <c r="B54" s="9" t="s">
        <v>3</v>
      </c>
      <c r="C54" s="8"/>
      <c r="D54" s="8"/>
      <c r="E54" s="8" t="s">
        <v>58</v>
      </c>
      <c r="F54" s="39">
        <f>VLOOKUP(D47,'Jawaban Data Karyawan'!$A$6:$L$15,5,0)</f>
        <v>3000000</v>
      </c>
      <c r="G54" s="40"/>
      <c r="H54" s="8" t="s">
        <v>6</v>
      </c>
      <c r="K54" s="1" t="s">
        <v>58</v>
      </c>
      <c r="L54" s="39">
        <f>VLOOKUP(D47,'Jawaban Data Karyawan'!$A$6:$L$15,7,0)</f>
        <v>350000</v>
      </c>
      <c r="M54" s="39"/>
    </row>
    <row r="55" spans="2:18" x14ac:dyDescent="0.25">
      <c r="B55" s="9" t="s">
        <v>6</v>
      </c>
      <c r="C55" s="8"/>
      <c r="D55" s="8"/>
      <c r="E55" s="8" t="s">
        <v>58</v>
      </c>
      <c r="F55" s="39">
        <f>VLOOKUP(D47,'Jawaban Data Karyawan'!$A$6:$L$15,6,0)</f>
        <v>490000.00000000006</v>
      </c>
      <c r="G55" s="40"/>
      <c r="H55" s="8" t="s">
        <v>9</v>
      </c>
      <c r="K55" s="1" t="s">
        <v>58</v>
      </c>
      <c r="L55" s="39">
        <f>VLOOKUP(D47,'Jawaban Data Karyawan'!$A$6:$L$15,9,0)</f>
        <v>140000</v>
      </c>
      <c r="M55" s="39"/>
    </row>
    <row r="56" spans="2:18" x14ac:dyDescent="0.25">
      <c r="B56" s="9" t="s">
        <v>9</v>
      </c>
      <c r="C56" s="8"/>
      <c r="D56" s="8"/>
      <c r="E56" s="8" t="s">
        <v>58</v>
      </c>
      <c r="F56" s="39">
        <f>VLOOKUP(D47,'Jawaban Data Karyawan'!$A$6:$L$15,8,0)</f>
        <v>210000</v>
      </c>
      <c r="G56" s="40"/>
      <c r="H56" s="8" t="s">
        <v>12</v>
      </c>
      <c r="K56" s="1" t="s">
        <v>58</v>
      </c>
      <c r="L56" s="39">
        <f>VLOOKUP(D47,'Jawaban Data Karyawan'!$A$6:$L$15,12,0)</f>
        <v>669771</v>
      </c>
      <c r="M56" s="39"/>
    </row>
    <row r="57" spans="2:18" x14ac:dyDescent="0.25">
      <c r="B57" s="9" t="s">
        <v>60</v>
      </c>
      <c r="C57" s="8"/>
      <c r="D57" s="8"/>
      <c r="E57" s="8" t="s">
        <v>58</v>
      </c>
      <c r="F57" s="39">
        <f>VLOOKUP(D47,'Jawaban Data Karyawan'!$A$6:$L$15,10,0)</f>
        <v>560000</v>
      </c>
      <c r="G57" s="40"/>
      <c r="H57" s="8"/>
      <c r="L57" s="10"/>
      <c r="M57" s="10"/>
    </row>
    <row r="58" spans="2:18" x14ac:dyDescent="0.25">
      <c r="B58" s="9" t="s">
        <v>11</v>
      </c>
      <c r="C58" s="8"/>
      <c r="D58" s="8"/>
      <c r="E58" s="8" t="s">
        <v>58</v>
      </c>
      <c r="F58" s="39">
        <f>VLOOKUP(D47,'Jawaban Data Karyawan'!$A$6:$L$15,11,0)</f>
        <v>420000</v>
      </c>
      <c r="G58" s="40"/>
      <c r="H58" s="8"/>
      <c r="L58" s="10"/>
      <c r="M58" s="10"/>
    </row>
    <row r="59" spans="2:18" x14ac:dyDescent="0.25">
      <c r="B59" s="8"/>
      <c r="C59" s="8"/>
      <c r="D59" s="8"/>
      <c r="E59" s="8"/>
      <c r="F59" s="27"/>
      <c r="G59" s="28"/>
      <c r="H59" s="8"/>
      <c r="L59" s="10"/>
      <c r="M59" s="10"/>
    </row>
    <row r="60" spans="2:18" x14ac:dyDescent="0.25">
      <c r="B60" s="9" t="s">
        <v>61</v>
      </c>
      <c r="C60" s="8"/>
      <c r="D60" s="8"/>
      <c r="E60" s="8" t="s">
        <v>58</v>
      </c>
      <c r="F60" s="41">
        <f>SUM(F53:G58)</f>
        <v>11680000</v>
      </c>
      <c r="G60" s="42"/>
      <c r="H60" s="8" t="s">
        <v>64</v>
      </c>
      <c r="K60" s="1" t="s">
        <v>58</v>
      </c>
      <c r="L60" s="41">
        <f>SUM(L53:M56)</f>
        <v>1719771</v>
      </c>
      <c r="M60" s="41"/>
    </row>
    <row r="61" spans="2:18" x14ac:dyDescent="0.25">
      <c r="B61" s="8"/>
      <c r="C61" s="8"/>
      <c r="D61" s="8"/>
      <c r="E61" s="8"/>
      <c r="F61" s="8"/>
      <c r="G61" s="29"/>
      <c r="H61" s="8"/>
      <c r="L61" s="10"/>
      <c r="M61" s="10"/>
    </row>
    <row r="62" spans="2:18" x14ac:dyDescent="0.25">
      <c r="B62" s="34" t="s">
        <v>62</v>
      </c>
      <c r="C62" s="34"/>
      <c r="D62" s="34"/>
      <c r="E62" s="34"/>
      <c r="F62" s="34"/>
      <c r="G62" s="35"/>
      <c r="H62" s="8"/>
      <c r="K62" s="1" t="s">
        <v>58</v>
      </c>
      <c r="L62" s="43">
        <f>F60-L60</f>
        <v>9960229</v>
      </c>
      <c r="M62" s="43"/>
    </row>
    <row r="63" spans="2:18" x14ac:dyDescent="0.25">
      <c r="B63" s="34" t="s">
        <v>63</v>
      </c>
      <c r="C63" s="34"/>
      <c r="D63" s="34"/>
      <c r="E63" s="34"/>
      <c r="F63" s="34"/>
      <c r="G63" s="35"/>
      <c r="H63" s="24" t="s">
        <v>68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</row>
  </sheetData>
  <mergeCells count="66">
    <mergeCell ref="B2:F2"/>
    <mergeCell ref="D4:F4"/>
    <mergeCell ref="D5:F5"/>
    <mergeCell ref="D6:F6"/>
    <mergeCell ref="D7:F7"/>
    <mergeCell ref="B19:G19"/>
    <mergeCell ref="B20:G20"/>
    <mergeCell ref="B9:G9"/>
    <mergeCell ref="L10:M10"/>
    <mergeCell ref="L11:M11"/>
    <mergeCell ref="L12:M12"/>
    <mergeCell ref="L13:M13"/>
    <mergeCell ref="L17:M17"/>
    <mergeCell ref="H9:M9"/>
    <mergeCell ref="F11:G11"/>
    <mergeCell ref="F12:G12"/>
    <mergeCell ref="F13:G13"/>
    <mergeCell ref="F14:G14"/>
    <mergeCell ref="F15:G15"/>
    <mergeCell ref="F17:G17"/>
    <mergeCell ref="F10:G10"/>
    <mergeCell ref="L33:M33"/>
    <mergeCell ref="B23:F23"/>
    <mergeCell ref="D25:F25"/>
    <mergeCell ref="D26:F26"/>
    <mergeCell ref="D27:F27"/>
    <mergeCell ref="D28:F28"/>
    <mergeCell ref="B30:G30"/>
    <mergeCell ref="B40:G40"/>
    <mergeCell ref="B41:G41"/>
    <mergeCell ref="L19:M19"/>
    <mergeCell ref="L40:M40"/>
    <mergeCell ref="F34:G34"/>
    <mergeCell ref="L34:M34"/>
    <mergeCell ref="F35:G35"/>
    <mergeCell ref="F36:G36"/>
    <mergeCell ref="F38:G38"/>
    <mergeCell ref="L38:M38"/>
    <mergeCell ref="H30:M30"/>
    <mergeCell ref="F31:G31"/>
    <mergeCell ref="L31:M31"/>
    <mergeCell ref="F32:G32"/>
    <mergeCell ref="L32:M32"/>
    <mergeCell ref="F33:G33"/>
    <mergeCell ref="L62:M62"/>
    <mergeCell ref="F56:G56"/>
    <mergeCell ref="F57:G57"/>
    <mergeCell ref="F53:G53"/>
    <mergeCell ref="L53:M53"/>
    <mergeCell ref="F54:G54"/>
    <mergeCell ref="L54:M54"/>
    <mergeCell ref="F55:G55"/>
    <mergeCell ref="L55:M55"/>
    <mergeCell ref="H52:M52"/>
    <mergeCell ref="L56:M56"/>
    <mergeCell ref="F58:G58"/>
    <mergeCell ref="F60:G60"/>
    <mergeCell ref="L60:M60"/>
    <mergeCell ref="B63:G63"/>
    <mergeCell ref="B62:G62"/>
    <mergeCell ref="B45:F45"/>
    <mergeCell ref="D50:F50"/>
    <mergeCell ref="B52:G52"/>
    <mergeCell ref="D47:F47"/>
    <mergeCell ref="D48:F48"/>
    <mergeCell ref="D49:F4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showGridLines="0" zoomScale="73" zoomScaleNormal="73" workbookViewId="0">
      <selection activeCell="J21" sqref="J21"/>
    </sheetView>
  </sheetViews>
  <sheetFormatPr defaultRowHeight="15" x14ac:dyDescent="0.25"/>
  <cols>
    <col min="1" max="1" width="7.5703125" customWidth="1"/>
    <col min="2" max="2" width="14.42578125" customWidth="1"/>
    <col min="3" max="3" width="16.28515625" customWidth="1"/>
    <col min="4" max="12" width="19.42578125" customWidth="1"/>
  </cols>
  <sheetData>
    <row r="1" spans="1:12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1" t="s">
        <v>1</v>
      </c>
      <c r="B4" s="31" t="s">
        <v>4</v>
      </c>
      <c r="C4" s="31" t="s">
        <v>5</v>
      </c>
      <c r="D4" s="31" t="s">
        <v>2</v>
      </c>
      <c r="E4" s="31" t="s">
        <v>3</v>
      </c>
      <c r="F4" s="31" t="s">
        <v>6</v>
      </c>
      <c r="G4" s="31"/>
      <c r="H4" s="31" t="s">
        <v>9</v>
      </c>
      <c r="I4" s="31"/>
      <c r="J4" s="31" t="s">
        <v>10</v>
      </c>
      <c r="K4" s="31" t="s">
        <v>11</v>
      </c>
      <c r="L4" s="31" t="s">
        <v>12</v>
      </c>
    </row>
    <row r="5" spans="1:12" x14ac:dyDescent="0.25">
      <c r="A5" s="31"/>
      <c r="B5" s="31"/>
      <c r="C5" s="31"/>
      <c r="D5" s="31"/>
      <c r="E5" s="31"/>
      <c r="F5" s="12" t="s">
        <v>7</v>
      </c>
      <c r="G5" s="12" t="s">
        <v>8</v>
      </c>
      <c r="H5" s="12" t="s">
        <v>7</v>
      </c>
      <c r="I5" s="12" t="s">
        <v>8</v>
      </c>
      <c r="J5" s="31"/>
      <c r="K5" s="31"/>
      <c r="L5" s="31"/>
    </row>
    <row r="6" spans="1:12" x14ac:dyDescent="0.25">
      <c r="A6" s="13" t="s">
        <v>13</v>
      </c>
      <c r="B6" s="14" t="s">
        <v>14</v>
      </c>
      <c r="C6" s="14" t="s">
        <v>15</v>
      </c>
      <c r="D6" s="21"/>
      <c r="E6" s="21"/>
      <c r="F6" s="22"/>
      <c r="G6" s="22"/>
      <c r="H6" s="22"/>
      <c r="I6" s="22"/>
      <c r="J6" s="22"/>
      <c r="K6" s="21"/>
      <c r="L6" s="17">
        <v>898576</v>
      </c>
    </row>
    <row r="7" spans="1:12" x14ac:dyDescent="0.25">
      <c r="A7" s="13" t="s">
        <v>16</v>
      </c>
      <c r="B7" s="14" t="s">
        <v>17</v>
      </c>
      <c r="C7" s="14" t="s">
        <v>18</v>
      </c>
      <c r="D7" s="21"/>
      <c r="E7" s="21"/>
      <c r="F7" s="22"/>
      <c r="G7" s="22"/>
      <c r="H7" s="22"/>
      <c r="I7" s="22"/>
      <c r="J7" s="22"/>
      <c r="K7" s="21"/>
      <c r="L7" s="17">
        <v>669771</v>
      </c>
    </row>
    <row r="8" spans="1:12" x14ac:dyDescent="0.25">
      <c r="A8" s="13" t="s">
        <v>19</v>
      </c>
      <c r="B8" s="14" t="s">
        <v>20</v>
      </c>
      <c r="C8" s="14" t="s">
        <v>15</v>
      </c>
      <c r="D8" s="21"/>
      <c r="E8" s="21"/>
      <c r="F8" s="22"/>
      <c r="G8" s="22"/>
      <c r="H8" s="22"/>
      <c r="I8" s="22"/>
      <c r="J8" s="22"/>
      <c r="K8" s="21"/>
      <c r="L8" s="17">
        <v>154626</v>
      </c>
    </row>
    <row r="9" spans="1:12" x14ac:dyDescent="0.25">
      <c r="A9" s="13" t="s">
        <v>21</v>
      </c>
      <c r="B9" s="14" t="s">
        <v>22</v>
      </c>
      <c r="C9" s="14" t="s">
        <v>23</v>
      </c>
      <c r="D9" s="21"/>
      <c r="E9" s="21"/>
      <c r="F9" s="22"/>
      <c r="G9" s="22"/>
      <c r="H9" s="22"/>
      <c r="I9" s="22"/>
      <c r="J9" s="22"/>
      <c r="K9" s="21"/>
      <c r="L9" s="17">
        <v>809626</v>
      </c>
    </row>
    <row r="10" spans="1:12" x14ac:dyDescent="0.25">
      <c r="A10" s="13" t="s">
        <v>24</v>
      </c>
      <c r="B10" s="14" t="s">
        <v>25</v>
      </c>
      <c r="C10" s="14" t="s">
        <v>26</v>
      </c>
      <c r="D10" s="21"/>
      <c r="E10" s="21"/>
      <c r="F10" s="22"/>
      <c r="G10" s="22"/>
      <c r="H10" s="22"/>
      <c r="I10" s="22"/>
      <c r="J10" s="22"/>
      <c r="K10" s="21"/>
      <c r="L10" s="17">
        <v>837807</v>
      </c>
    </row>
    <row r="11" spans="1:12" x14ac:dyDescent="0.25">
      <c r="A11" s="13" t="s">
        <v>27</v>
      </c>
      <c r="B11" s="14" t="s">
        <v>28</v>
      </c>
      <c r="C11" s="14" t="s">
        <v>15</v>
      </c>
      <c r="D11" s="21"/>
      <c r="E11" s="21"/>
      <c r="F11" s="22"/>
      <c r="G11" s="22"/>
      <c r="H11" s="22"/>
      <c r="I11" s="22"/>
      <c r="J11" s="22"/>
      <c r="K11" s="21"/>
      <c r="L11" s="17">
        <v>610394</v>
      </c>
    </row>
    <row r="12" spans="1:12" x14ac:dyDescent="0.25">
      <c r="A12" s="13" t="s">
        <v>29</v>
      </c>
      <c r="B12" s="14" t="s">
        <v>30</v>
      </c>
      <c r="C12" s="14" t="s">
        <v>23</v>
      </c>
      <c r="D12" s="21"/>
      <c r="E12" s="21"/>
      <c r="F12" s="22"/>
      <c r="G12" s="22"/>
      <c r="H12" s="22"/>
      <c r="I12" s="22"/>
      <c r="J12" s="22"/>
      <c r="K12" s="21"/>
      <c r="L12" s="17">
        <v>124279</v>
      </c>
    </row>
    <row r="13" spans="1:12" x14ac:dyDescent="0.25">
      <c r="A13" s="13" t="s">
        <v>31</v>
      </c>
      <c r="B13" s="14" t="s">
        <v>32</v>
      </c>
      <c r="C13" s="14" t="s">
        <v>15</v>
      </c>
      <c r="D13" s="21"/>
      <c r="E13" s="21"/>
      <c r="F13" s="22"/>
      <c r="G13" s="22"/>
      <c r="H13" s="22"/>
      <c r="I13" s="22"/>
      <c r="J13" s="22"/>
      <c r="K13" s="21"/>
      <c r="L13" s="17">
        <v>361261</v>
      </c>
    </row>
    <row r="14" spans="1:12" x14ac:dyDescent="0.25">
      <c r="A14" s="13" t="s">
        <v>33</v>
      </c>
      <c r="B14" s="14" t="s">
        <v>34</v>
      </c>
      <c r="C14" s="14" t="s">
        <v>26</v>
      </c>
      <c r="D14" s="21"/>
      <c r="E14" s="21"/>
      <c r="F14" s="22"/>
      <c r="G14" s="22"/>
      <c r="H14" s="22"/>
      <c r="I14" s="22"/>
      <c r="J14" s="22"/>
      <c r="K14" s="21"/>
      <c r="L14" s="17">
        <v>162308</v>
      </c>
    </row>
    <row r="15" spans="1:12" x14ac:dyDescent="0.25">
      <c r="A15" s="13" t="s">
        <v>35</v>
      </c>
      <c r="B15" s="14" t="s">
        <v>36</v>
      </c>
      <c r="C15" s="14" t="s">
        <v>15</v>
      </c>
      <c r="D15" s="21"/>
      <c r="E15" s="21"/>
      <c r="F15" s="22"/>
      <c r="G15" s="22"/>
      <c r="H15" s="22"/>
      <c r="I15" s="22"/>
      <c r="J15" s="22"/>
      <c r="K15" s="21"/>
      <c r="L15" s="17">
        <v>356221</v>
      </c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32" t="s">
        <v>37</v>
      </c>
      <c r="B18" s="32"/>
      <c r="C18" s="32"/>
      <c r="D18" s="2"/>
      <c r="E18" s="1"/>
      <c r="F18" s="5"/>
      <c r="G18" s="1"/>
      <c r="H18" s="1"/>
      <c r="I18" s="1"/>
      <c r="J18" s="1"/>
      <c r="K18" s="1"/>
      <c r="L18" s="1"/>
    </row>
    <row r="19" spans="1:12" x14ac:dyDescent="0.25">
      <c r="A19" s="33" t="s">
        <v>38</v>
      </c>
      <c r="B19" s="33" t="s">
        <v>5</v>
      </c>
      <c r="C19" s="33" t="s">
        <v>2</v>
      </c>
      <c r="D19" s="2" t="s">
        <v>39</v>
      </c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33"/>
      <c r="B20" s="33"/>
      <c r="C20" s="33"/>
      <c r="D20" s="2" t="s">
        <v>40</v>
      </c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8">
        <v>1</v>
      </c>
      <c r="B21" s="19" t="s">
        <v>18</v>
      </c>
      <c r="C21" s="20">
        <v>7000000</v>
      </c>
      <c r="D21" s="2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8">
        <v>2</v>
      </c>
      <c r="B22" s="19" t="s">
        <v>23</v>
      </c>
      <c r="C22" s="20">
        <v>5500000</v>
      </c>
      <c r="D22" s="2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8">
        <v>3</v>
      </c>
      <c r="B23" s="19" t="s">
        <v>15</v>
      </c>
      <c r="C23" s="20">
        <v>4200000</v>
      </c>
      <c r="D23" s="2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8">
        <v>4</v>
      </c>
      <c r="B24" s="19" t="s">
        <v>26</v>
      </c>
      <c r="C24" s="20">
        <v>4000000</v>
      </c>
      <c r="D24" s="2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3" t="s">
        <v>41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4" t="s">
        <v>47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4" t="s">
        <v>48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4" t="s">
        <v>42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4" t="s">
        <v>43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4" t="s">
        <v>44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4" t="s">
        <v>49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4" t="s">
        <v>50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4" t="s">
        <v>51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4" t="s">
        <v>52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4" t="s">
        <v>53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4" t="s">
        <v>54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4" t="s">
        <v>55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4" t="s">
        <v>56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4" t="s">
        <v>45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4" t="s">
        <v>46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15">
    <mergeCell ref="A1:L2"/>
    <mergeCell ref="A4:A5"/>
    <mergeCell ref="B4:B5"/>
    <mergeCell ref="C4:C5"/>
    <mergeCell ref="D4:D5"/>
    <mergeCell ref="E4:E5"/>
    <mergeCell ref="F4:G4"/>
    <mergeCell ref="H4:I4"/>
    <mergeCell ref="J4:J5"/>
    <mergeCell ref="K4:K5"/>
    <mergeCell ref="L4:L5"/>
    <mergeCell ref="A18:C18"/>
    <mergeCell ref="A19:A20"/>
    <mergeCell ref="B19:B20"/>
    <mergeCell ref="C19:C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1"/>
  <sheetViews>
    <sheetView showGridLines="0" zoomScale="73" zoomScaleNormal="73" workbookViewId="0">
      <selection activeCell="X1" sqref="X1"/>
    </sheetView>
  </sheetViews>
  <sheetFormatPr defaultRowHeight="15" x14ac:dyDescent="0.25"/>
  <cols>
    <col min="4" max="4" width="5.85546875" customWidth="1"/>
    <col min="10" max="10" width="5.42578125" customWidth="1"/>
  </cols>
  <sheetData>
    <row r="1" spans="2:23" x14ac:dyDescent="0.25">
      <c r="Q1" s="49" t="s">
        <v>70</v>
      </c>
      <c r="R1" s="49"/>
      <c r="S1" s="49"/>
      <c r="T1" s="49"/>
      <c r="U1" s="49"/>
      <c r="V1" s="49"/>
      <c r="W1" s="49"/>
    </row>
    <row r="2" spans="2:23" x14ac:dyDescent="0.25">
      <c r="B2" s="32" t="s">
        <v>57</v>
      </c>
      <c r="C2" s="32"/>
      <c r="D2" s="32"/>
      <c r="E2" s="32"/>
      <c r="F2" s="32"/>
      <c r="G2" s="1"/>
      <c r="H2" s="1"/>
      <c r="I2" s="1"/>
      <c r="J2" s="1"/>
      <c r="K2" s="1"/>
      <c r="L2" s="1"/>
      <c r="M2" s="1"/>
      <c r="N2" s="1"/>
      <c r="O2" s="1"/>
      <c r="P2" s="1"/>
      <c r="Q2" s="49"/>
      <c r="R2" s="49"/>
      <c r="S2" s="49"/>
      <c r="T2" s="49"/>
      <c r="U2" s="49"/>
      <c r="V2" s="49"/>
      <c r="W2" s="49"/>
    </row>
    <row r="3" spans="2:23" x14ac:dyDescent="0.25">
      <c r="B3" s="6"/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</row>
    <row r="4" spans="2:23" x14ac:dyDescent="0.25">
      <c r="B4" s="7" t="s">
        <v>1</v>
      </c>
      <c r="C4" s="7" t="s">
        <v>58</v>
      </c>
      <c r="D4" s="38" t="s">
        <v>19</v>
      </c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</row>
    <row r="5" spans="2:23" x14ac:dyDescent="0.25">
      <c r="B5" s="7" t="s">
        <v>4</v>
      </c>
      <c r="C5" s="7" t="s">
        <v>58</v>
      </c>
      <c r="D5" s="38" t="str">
        <f>VLOOKUP(D4,'Jawaban Data Karyawan'!$A$6:$L$15,2,0)</f>
        <v>Zahra</v>
      </c>
      <c r="E5" s="38"/>
      <c r="F5" s="38"/>
      <c r="G5" s="1"/>
      <c r="H5" s="1"/>
      <c r="I5" s="1"/>
      <c r="J5" s="1"/>
      <c r="K5" s="1"/>
      <c r="L5" s="1"/>
      <c r="M5" s="1"/>
      <c r="N5" s="1"/>
      <c r="O5" s="1"/>
      <c r="P5" s="1"/>
    </row>
    <row r="6" spans="2:23" x14ac:dyDescent="0.25">
      <c r="B6" s="7" t="s">
        <v>5</v>
      </c>
      <c r="C6" s="7" t="s">
        <v>58</v>
      </c>
      <c r="D6" s="38" t="str">
        <f>VLOOKUP(D4,'Jawaban Data Karyawan'!$A$6:$L$15,3,0)</f>
        <v>Pemasaran</v>
      </c>
      <c r="E6" s="38"/>
      <c r="F6" s="38"/>
      <c r="G6" s="1"/>
      <c r="H6" s="1"/>
      <c r="I6" s="1"/>
      <c r="J6" s="1"/>
      <c r="K6" s="1"/>
      <c r="L6" s="1"/>
      <c r="M6" s="1"/>
      <c r="N6" s="1"/>
      <c r="O6" s="1"/>
      <c r="P6" s="1"/>
    </row>
    <row r="7" spans="2:23" x14ac:dyDescent="0.25">
      <c r="B7" s="7" t="s">
        <v>59</v>
      </c>
      <c r="C7" s="7" t="s">
        <v>58</v>
      </c>
      <c r="D7" s="36">
        <f ca="1">TODAY()</f>
        <v>46051</v>
      </c>
      <c r="E7" s="36"/>
      <c r="F7" s="36"/>
      <c r="G7" s="1"/>
      <c r="H7" s="1"/>
      <c r="I7" s="1"/>
      <c r="J7" s="1"/>
      <c r="K7" s="1"/>
      <c r="L7" s="1"/>
      <c r="M7" s="1"/>
      <c r="N7" s="1"/>
      <c r="O7" s="1"/>
      <c r="P7" s="1"/>
    </row>
    <row r="8" spans="2:23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23" x14ac:dyDescent="0.25">
      <c r="B9" s="37" t="s">
        <v>65</v>
      </c>
      <c r="C9" s="37"/>
      <c r="D9" s="37"/>
      <c r="E9" s="37"/>
      <c r="F9" s="37"/>
      <c r="G9" s="37"/>
      <c r="H9" s="37" t="s">
        <v>66</v>
      </c>
      <c r="I9" s="37"/>
      <c r="J9" s="37"/>
      <c r="K9" s="37"/>
      <c r="L9" s="37"/>
      <c r="M9" s="37"/>
      <c r="N9" s="1"/>
      <c r="O9" s="1"/>
      <c r="P9" s="1"/>
    </row>
    <row r="10" spans="2:23" x14ac:dyDescent="0.25">
      <c r="B10" s="25" t="s">
        <v>2</v>
      </c>
      <c r="C10" s="26"/>
      <c r="D10" s="26"/>
      <c r="E10" s="26" t="s">
        <v>58</v>
      </c>
      <c r="F10" s="44"/>
      <c r="G10" s="45"/>
      <c r="H10" s="8" t="s">
        <v>60</v>
      </c>
      <c r="I10" s="8"/>
      <c r="J10" s="8"/>
      <c r="K10" s="1" t="s">
        <v>58</v>
      </c>
      <c r="L10" s="39"/>
      <c r="M10" s="39"/>
      <c r="N10" s="1"/>
      <c r="O10" s="1"/>
      <c r="P10" s="1"/>
    </row>
    <row r="11" spans="2:23" x14ac:dyDescent="0.25">
      <c r="B11" s="9" t="s">
        <v>3</v>
      </c>
      <c r="C11" s="8"/>
      <c r="D11" s="8"/>
      <c r="E11" s="8" t="s">
        <v>58</v>
      </c>
      <c r="F11" s="44"/>
      <c r="G11" s="45"/>
      <c r="H11" s="8" t="s">
        <v>6</v>
      </c>
      <c r="I11" s="1"/>
      <c r="J11" s="1"/>
      <c r="K11" s="1" t="s">
        <v>58</v>
      </c>
      <c r="L11" s="39"/>
      <c r="M11" s="39"/>
      <c r="N11" s="1"/>
      <c r="O11" s="1"/>
      <c r="P11" s="1"/>
    </row>
    <row r="12" spans="2:23" x14ac:dyDescent="0.25">
      <c r="B12" s="9" t="s">
        <v>6</v>
      </c>
      <c r="C12" s="8"/>
      <c r="D12" s="8"/>
      <c r="E12" s="8" t="s">
        <v>58</v>
      </c>
      <c r="F12" s="44"/>
      <c r="G12" s="45"/>
      <c r="H12" s="8" t="s">
        <v>9</v>
      </c>
      <c r="I12" s="1"/>
      <c r="J12" s="1"/>
      <c r="K12" s="1" t="s">
        <v>58</v>
      </c>
      <c r="L12" s="39"/>
      <c r="M12" s="39"/>
      <c r="N12" s="1"/>
      <c r="O12" s="1"/>
      <c r="P12" s="1"/>
    </row>
    <row r="13" spans="2:23" x14ac:dyDescent="0.25">
      <c r="B13" s="9" t="s">
        <v>9</v>
      </c>
      <c r="C13" s="8"/>
      <c r="D13" s="8"/>
      <c r="E13" s="8" t="s">
        <v>58</v>
      </c>
      <c r="F13" s="44"/>
      <c r="G13" s="45"/>
      <c r="H13" s="8" t="s">
        <v>12</v>
      </c>
      <c r="I13" s="1"/>
      <c r="J13" s="1"/>
      <c r="K13" s="1" t="s">
        <v>58</v>
      </c>
      <c r="L13" s="39"/>
      <c r="M13" s="39"/>
      <c r="N13" s="1"/>
      <c r="O13" s="1"/>
      <c r="P13" s="1"/>
    </row>
    <row r="14" spans="2:23" x14ac:dyDescent="0.25">
      <c r="B14" s="9" t="s">
        <v>60</v>
      </c>
      <c r="C14" s="8"/>
      <c r="D14" s="8"/>
      <c r="E14" s="8" t="s">
        <v>58</v>
      </c>
      <c r="F14" s="44"/>
      <c r="G14" s="45"/>
      <c r="H14" s="8"/>
      <c r="I14" s="1"/>
      <c r="J14" s="1"/>
      <c r="K14" s="1"/>
      <c r="L14" s="10"/>
      <c r="M14" s="10"/>
      <c r="N14" s="1"/>
      <c r="O14" s="1"/>
      <c r="P14" s="1"/>
    </row>
    <row r="15" spans="2:23" x14ac:dyDescent="0.25">
      <c r="B15" s="9" t="s">
        <v>11</v>
      </c>
      <c r="C15" s="8"/>
      <c r="D15" s="8"/>
      <c r="E15" s="8" t="s">
        <v>58</v>
      </c>
      <c r="F15" s="44"/>
      <c r="G15" s="45"/>
      <c r="H15" s="8"/>
      <c r="I15" s="1"/>
      <c r="J15" s="1"/>
      <c r="K15" s="1"/>
      <c r="L15" s="10"/>
      <c r="M15" s="10"/>
      <c r="N15" s="1"/>
      <c r="O15" s="1"/>
      <c r="P15" s="1"/>
    </row>
    <row r="16" spans="2:23" x14ac:dyDescent="0.25">
      <c r="B16" s="8"/>
      <c r="C16" s="8"/>
      <c r="D16" s="8"/>
      <c r="E16" s="8"/>
      <c r="F16" s="27"/>
      <c r="G16" s="28"/>
      <c r="H16" s="8"/>
      <c r="I16" s="1"/>
      <c r="J16" s="1"/>
      <c r="K16" s="1"/>
      <c r="L16" s="10"/>
      <c r="M16" s="10"/>
      <c r="N16" s="1"/>
      <c r="O16" s="1"/>
      <c r="P16" s="1"/>
    </row>
    <row r="17" spans="2:16" x14ac:dyDescent="0.25">
      <c r="B17" s="9" t="s">
        <v>61</v>
      </c>
      <c r="C17" s="8"/>
      <c r="D17" s="8"/>
      <c r="E17" s="8" t="s">
        <v>58</v>
      </c>
      <c r="F17" s="50"/>
      <c r="G17" s="51"/>
      <c r="H17" s="8" t="s">
        <v>64</v>
      </c>
      <c r="I17" s="1"/>
      <c r="J17" s="1"/>
      <c r="K17" s="1" t="s">
        <v>58</v>
      </c>
      <c r="L17" s="41"/>
      <c r="M17" s="41"/>
      <c r="N17" s="1"/>
      <c r="O17" s="1"/>
      <c r="P17" s="1"/>
    </row>
    <row r="18" spans="2:16" x14ac:dyDescent="0.25">
      <c r="B18" s="8"/>
      <c r="C18" s="8"/>
      <c r="D18" s="8"/>
      <c r="E18" s="8"/>
      <c r="F18" s="8"/>
      <c r="G18" s="29"/>
      <c r="H18" s="8"/>
      <c r="I18" s="1"/>
      <c r="J18" s="1"/>
      <c r="K18" s="1"/>
      <c r="L18" s="10"/>
      <c r="M18" s="10"/>
      <c r="N18" s="1"/>
      <c r="O18" s="1"/>
      <c r="P18" s="1"/>
    </row>
    <row r="19" spans="2:16" x14ac:dyDescent="0.25">
      <c r="B19" s="34" t="s">
        <v>62</v>
      </c>
      <c r="C19" s="34"/>
      <c r="D19" s="34"/>
      <c r="E19" s="34"/>
      <c r="F19" s="34"/>
      <c r="G19" s="35"/>
      <c r="H19" s="8"/>
      <c r="I19" s="1"/>
      <c r="J19" s="1"/>
      <c r="K19" s="1" t="s">
        <v>58</v>
      </c>
      <c r="L19" s="48"/>
      <c r="M19" s="48"/>
      <c r="N19" s="1"/>
      <c r="O19" s="1"/>
      <c r="P19" s="1"/>
    </row>
    <row r="20" spans="2:16" x14ac:dyDescent="0.25">
      <c r="B20" s="34" t="s">
        <v>63</v>
      </c>
      <c r="C20" s="34"/>
      <c r="D20" s="34"/>
      <c r="E20" s="34"/>
      <c r="F20" s="34"/>
      <c r="G20" s="35"/>
      <c r="H20" s="24"/>
      <c r="I20" s="11"/>
      <c r="J20" s="11"/>
      <c r="K20" s="11"/>
      <c r="L20" s="11"/>
      <c r="M20" s="11"/>
      <c r="N20" s="11"/>
      <c r="O20" s="11"/>
      <c r="P20" s="11"/>
    </row>
    <row r="21" spans="2:16" x14ac:dyDescent="0.25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1"/>
      <c r="O21" s="1"/>
      <c r="P21" s="1"/>
    </row>
  </sheetData>
  <mergeCells count="23">
    <mergeCell ref="L12:M12"/>
    <mergeCell ref="B2:F2"/>
    <mergeCell ref="D4:F4"/>
    <mergeCell ref="D5:F5"/>
    <mergeCell ref="D6:F6"/>
    <mergeCell ref="D7:F7"/>
    <mergeCell ref="B9:G9"/>
    <mergeCell ref="B19:G19"/>
    <mergeCell ref="L19:M19"/>
    <mergeCell ref="B20:G20"/>
    <mergeCell ref="Q1:W2"/>
    <mergeCell ref="F13:G13"/>
    <mergeCell ref="L13:M13"/>
    <mergeCell ref="F14:G14"/>
    <mergeCell ref="F15:G15"/>
    <mergeCell ref="F17:G17"/>
    <mergeCell ref="L17:M17"/>
    <mergeCell ref="H9:M9"/>
    <mergeCell ref="F10:G10"/>
    <mergeCell ref="L10:M10"/>
    <mergeCell ref="F11:G11"/>
    <mergeCell ref="L11:M11"/>
    <mergeCell ref="F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Jawaban Data Karyawan</vt:lpstr>
      <vt:lpstr>Jawaban Slip Gaji</vt:lpstr>
      <vt:lpstr>Soal Data Karyawan</vt:lpstr>
      <vt:lpstr>Soal Slip Gaji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2025-03-09T11:57:02Z</dcterms:created>
  <dcterms:modified xsi:type="dcterms:W3CDTF">2026-01-29T07:38:24Z</dcterms:modified>
</cp:coreProperties>
</file>