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Github\Excel\"/>
    </mc:Choice>
  </mc:AlternateContent>
  <xr:revisionPtr revIDLastSave="0" documentId="13_ncr:1_{6AA01B36-6BE9-473B-8A2D-3D9568CDB4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al" sheetId="1" r:id="rId1"/>
    <sheet name="Jawab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1" i="1" l="1"/>
  <c r="K20" i="1"/>
  <c r="G21" i="1"/>
  <c r="G20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5" i="1"/>
  <c r="K21" i="2"/>
  <c r="G21" i="2"/>
  <c r="K20" i="2"/>
  <c r="G20" i="2"/>
  <c r="K19" i="2"/>
  <c r="J19" i="2"/>
  <c r="I19" i="2"/>
  <c r="H19" i="2"/>
  <c r="F19" i="2"/>
  <c r="D19" i="2"/>
  <c r="K18" i="2"/>
  <c r="J18" i="2"/>
  <c r="I18" i="2"/>
  <c r="H18" i="2"/>
  <c r="F18" i="2"/>
  <c r="D18" i="2"/>
  <c r="K17" i="2"/>
  <c r="J17" i="2"/>
  <c r="I17" i="2"/>
  <c r="H17" i="2"/>
  <c r="F17" i="2"/>
  <c r="D17" i="2"/>
  <c r="K16" i="2"/>
  <c r="J16" i="2"/>
  <c r="I16" i="2"/>
  <c r="H16" i="2"/>
  <c r="F16" i="2"/>
  <c r="D16" i="2"/>
  <c r="K15" i="2"/>
  <c r="J15" i="2"/>
  <c r="I15" i="2"/>
  <c r="H15" i="2"/>
  <c r="F15" i="2"/>
  <c r="D15" i="2"/>
  <c r="K14" i="2"/>
  <c r="J14" i="2"/>
  <c r="I14" i="2"/>
  <c r="H14" i="2"/>
  <c r="F14" i="2"/>
  <c r="D14" i="2"/>
  <c r="K13" i="2"/>
  <c r="J13" i="2"/>
  <c r="I13" i="2"/>
  <c r="H13" i="2"/>
  <c r="F13" i="2"/>
  <c r="D13" i="2"/>
  <c r="K12" i="2"/>
  <c r="J12" i="2"/>
  <c r="I12" i="2"/>
  <c r="H12" i="2"/>
  <c r="F12" i="2"/>
  <c r="D12" i="2"/>
  <c r="K11" i="2"/>
  <c r="J11" i="2"/>
  <c r="I11" i="2"/>
  <c r="H11" i="2"/>
  <c r="F11" i="2"/>
  <c r="D11" i="2"/>
  <c r="K10" i="2"/>
  <c r="J10" i="2"/>
  <c r="I10" i="2"/>
  <c r="H10" i="2"/>
  <c r="F10" i="2"/>
  <c r="D10" i="2"/>
  <c r="K9" i="2"/>
  <c r="J9" i="2"/>
  <c r="I9" i="2"/>
  <c r="H9" i="2"/>
  <c r="F9" i="2"/>
  <c r="D9" i="2"/>
  <c r="K8" i="2"/>
  <c r="J8" i="2"/>
  <c r="I8" i="2"/>
  <c r="H8" i="2"/>
  <c r="F8" i="2"/>
  <c r="D8" i="2"/>
  <c r="K7" i="2"/>
  <c r="J7" i="2"/>
  <c r="I7" i="2"/>
  <c r="H7" i="2"/>
  <c r="F7" i="2"/>
  <c r="D7" i="2"/>
  <c r="K6" i="2"/>
  <c r="J6" i="2"/>
  <c r="I6" i="2"/>
  <c r="H6" i="2"/>
  <c r="F6" i="2"/>
  <c r="D6" i="2"/>
  <c r="K5" i="2"/>
  <c r="J5" i="2"/>
  <c r="I5" i="2"/>
  <c r="H5" i="2"/>
  <c r="F5" i="2"/>
  <c r="D5" i="2"/>
</calcChain>
</file>

<file path=xl/sharedStrings.xml><?xml version="1.0" encoding="utf-8"?>
<sst xmlns="http://schemas.openxmlformats.org/spreadsheetml/2006/main" count="142" uniqueCount="37">
  <si>
    <t>Daftar Penjualan 7 Hari Terakhir
Toko Baju Milik Miaauliaa</t>
  </si>
  <si>
    <t>No</t>
  </si>
  <si>
    <t>Tanggal</t>
  </si>
  <si>
    <t>Kode Pelanggan</t>
  </si>
  <si>
    <t>Nama Pelanggan</t>
  </si>
  <si>
    <t>Kode Produk</t>
  </si>
  <si>
    <t>Nama Produk</t>
  </si>
  <si>
    <t>Qty</t>
  </si>
  <si>
    <t>Harga Satuan</t>
  </si>
  <si>
    <t>Total Penjualan</t>
  </si>
  <si>
    <t>Diskon</t>
  </si>
  <si>
    <t>Penjualan Bersih</t>
  </si>
  <si>
    <t>NF-01</t>
  </si>
  <si>
    <t>B-05</t>
  </si>
  <si>
    <t>Kode</t>
  </si>
  <si>
    <t>Nama</t>
  </si>
  <si>
    <t>AN-02</t>
  </si>
  <si>
    <t>B-10</t>
  </si>
  <si>
    <t>Toko Nova</t>
  </si>
  <si>
    <t>CT-03</t>
  </si>
  <si>
    <t>K-01</t>
  </si>
  <si>
    <t>Toko Andi</t>
  </si>
  <si>
    <t>K-03</t>
  </si>
  <si>
    <t>Toko Cinta</t>
  </si>
  <si>
    <t>Batik Pekalongan</t>
  </si>
  <si>
    <t>Batik Bali</t>
  </si>
  <si>
    <t>Kebaya Panjang</t>
  </si>
  <si>
    <t>Kebaya Pendek</t>
  </si>
  <si>
    <t>Total</t>
  </si>
  <si>
    <t>Rata Rata Penjualan Harian</t>
  </si>
  <si>
    <t>Soal</t>
  </si>
  <si>
    <t>Isi Nama Pelanggan, Nama Produk, Harga Satuan (Gunakan kode VLOOKUP)</t>
  </si>
  <si>
    <t>Isi Total Penjualan (Rumus Perkalian)</t>
  </si>
  <si>
    <t>Jika qty pembelian diatas 200, maka diskon 10%, jika diatas 500, maka 20% (Gunakan Rumus IF)</t>
  </si>
  <si>
    <t>Isi Penjualan Bersih (Rumus Perkalian) Yaitu Total Penjualan - (Diskon*Penjualan Bersih)</t>
  </si>
  <si>
    <t>Totalkan semua Qty dan Penjualan Bersih dan Rata Rata kan (Rumus Pembagian).</t>
  </si>
  <si>
    <t>Daftar Penjualan 7 Hari Terakhir
Toko Baju Miaauliaa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</si>
</sst>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_(* #,##0_);_(* \(#,##0\);_(* &quot;-&quot;??_);_(@_)"/>
  </numFmts>
  <fonts count="6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</font>
    <font>
      <sz val="1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u/>
      <sz val="20"/>
      <color rgb="FFFF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31859B"/>
        <bgColor rgb="FF31859B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6" fontId="4" fillId="0" borderId="5" xfId="0" applyNumberFormat="1" applyFont="1" applyBorder="1" applyAlignment="1">
      <alignment horizontal="center"/>
    </xf>
    <xf numFmtId="0" fontId="3" fillId="0" borderId="0" xfId="0" applyFont="1"/>
    <xf numFmtId="167" fontId="4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0" fontId="4" fillId="0" borderId="5" xfId="0" applyNumberFormat="1" applyFont="1" applyBorder="1" applyAlignment="1">
      <alignment horizontal="center"/>
    </xf>
    <xf numFmtId="167" fontId="3" fillId="0" borderId="5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/>
    </xf>
    <xf numFmtId="0" fontId="2" fillId="0" borderId="8" xfId="0" applyFont="1" applyBorder="1"/>
    <xf numFmtId="0" fontId="2" fillId="0" borderId="7" xfId="0" applyFont="1" applyBorder="1"/>
    <xf numFmtId="0" fontId="3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9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10" xfId="0" applyFont="1" applyBorder="1"/>
    <xf numFmtId="0" fontId="3" fillId="5" borderId="6" xfId="0" applyFont="1" applyFill="1" applyBorder="1" applyAlignment="1">
      <alignment horizontal="center"/>
    </xf>
    <xf numFmtId="0" fontId="2" fillId="5" borderId="7" xfId="0" applyFont="1" applyFill="1" applyBorder="1"/>
    <xf numFmtId="0" fontId="2" fillId="5" borderId="8" xfId="0" applyFont="1" applyFill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1/sharedlinks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" zoomScale="85" zoomScaleNormal="85" workbookViewId="0">
      <selection activeCell="I28" sqref="I28"/>
    </sheetView>
  </sheetViews>
  <sheetFormatPr defaultColWidth="14.42578125" defaultRowHeight="15" customHeight="1"/>
  <cols>
    <col min="1" max="1" width="5.42578125" customWidth="1"/>
    <col min="2" max="2" width="7.7109375" customWidth="1"/>
    <col min="3" max="3" width="15.28515625" customWidth="1"/>
    <col min="4" max="4" width="15.85546875" customWidth="1"/>
    <col min="5" max="5" width="12.28515625" customWidth="1"/>
    <col min="6" max="6" width="17.28515625" bestFit="1" customWidth="1"/>
    <col min="7" max="7" width="7.28515625" customWidth="1"/>
    <col min="8" max="8" width="13.140625" customWidth="1"/>
    <col min="9" max="9" width="14.85546875" customWidth="1"/>
    <col min="10" max="10" width="7" customWidth="1"/>
    <col min="11" max="11" width="16" customWidth="1"/>
    <col min="12" max="12" width="8.7109375" customWidth="1"/>
    <col min="13" max="13" width="11.5703125" customWidth="1"/>
    <col min="14" max="14" width="21.85546875" customWidth="1"/>
    <col min="15" max="15" width="15.140625" customWidth="1"/>
    <col min="16" max="26" width="8.7109375" customWidth="1"/>
  </cols>
  <sheetData>
    <row r="1" spans="1:26" ht="27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  <c r="M1" s="11"/>
      <c r="N1" s="11"/>
      <c r="O1" s="11"/>
      <c r="P1" s="11"/>
      <c r="Q1" s="11"/>
    </row>
    <row r="2" spans="1:26" ht="27.75" customHeight="1">
      <c r="A2" s="19"/>
      <c r="B2" s="20"/>
      <c r="C2" s="20"/>
      <c r="D2" s="20"/>
      <c r="E2" s="20"/>
      <c r="F2" s="20"/>
      <c r="G2" s="20"/>
      <c r="H2" s="20"/>
      <c r="I2" s="20"/>
      <c r="J2" s="20"/>
      <c r="K2" s="21"/>
      <c r="M2" s="11"/>
      <c r="N2" s="11"/>
      <c r="O2" s="11"/>
      <c r="P2" s="11"/>
      <c r="Q2" s="11"/>
    </row>
    <row r="4" spans="1:2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8"/>
      <c r="M4" s="12" t="s">
        <v>3</v>
      </c>
      <c r="N4" s="1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">
        <v>1</v>
      </c>
      <c r="B5" s="3">
        <v>45658</v>
      </c>
      <c r="C5" s="2" t="s">
        <v>12</v>
      </c>
      <c r="D5" s="2" t="str">
        <f>VLOOKUP(C5,$M$6:$N$8,2,FALSE)</f>
        <v>Toko Nova</v>
      </c>
      <c r="E5" s="2" t="s">
        <v>13</v>
      </c>
      <c r="F5" s="2" t="str">
        <f>VLOOKUP(E5,$M$12:$O$15,2,FALSE)</f>
        <v>Batik Pekalongan</v>
      </c>
      <c r="G5" s="2">
        <v>320</v>
      </c>
      <c r="H5" s="5">
        <f>VLOOKUP(E5,$M$12:$O$15,3,FALSE)</f>
        <v>350000</v>
      </c>
      <c r="I5" s="5">
        <f>G5*H5</f>
        <v>112000000</v>
      </c>
      <c r="J5" s="9">
        <f>IF(G5&gt;500,20%,IF(G5&gt;200,10%,0%))</f>
        <v>0.1</v>
      </c>
      <c r="K5" s="5">
        <f>I5*(1-J5)</f>
        <v>100800000</v>
      </c>
      <c r="M5" s="6" t="s">
        <v>14</v>
      </c>
      <c r="N5" s="6" t="s">
        <v>15</v>
      </c>
    </row>
    <row r="6" spans="1:26">
      <c r="A6" s="2">
        <v>2</v>
      </c>
      <c r="B6" s="3">
        <v>45658</v>
      </c>
      <c r="C6" s="2" t="s">
        <v>16</v>
      </c>
      <c r="D6" s="2" t="str">
        <f t="shared" ref="D6:D19" si="0">VLOOKUP(C6,$M$6:$N$8,2,FALSE)</f>
        <v>Toko Andi</v>
      </c>
      <c r="E6" s="2" t="s">
        <v>17</v>
      </c>
      <c r="F6" s="2" t="str">
        <f t="shared" ref="F6:F19" si="1">VLOOKUP(E6,$M$12:$O$15,2,FALSE)</f>
        <v>Batik Bali</v>
      </c>
      <c r="G6" s="2">
        <v>180</v>
      </c>
      <c r="H6" s="5">
        <f t="shared" ref="H6:H19" si="2">VLOOKUP(E6,$M$12:$O$15,3,FALSE)</f>
        <v>450000</v>
      </c>
      <c r="I6" s="5">
        <f t="shared" ref="I6:I19" si="3">G6*H6</f>
        <v>81000000</v>
      </c>
      <c r="J6" s="9">
        <f t="shared" ref="J6:J19" si="4">IF(G6&gt;500,20%,IF(G6&gt;200,10%,0%))</f>
        <v>0</v>
      </c>
      <c r="K6" s="5">
        <f t="shared" ref="K6:K19" si="5">I6*(1-J6)</f>
        <v>81000000</v>
      </c>
      <c r="M6" s="2" t="s">
        <v>12</v>
      </c>
      <c r="N6" s="2" t="s">
        <v>18</v>
      </c>
    </row>
    <row r="7" spans="1:26">
      <c r="A7" s="2">
        <v>3</v>
      </c>
      <c r="B7" s="3">
        <v>45658</v>
      </c>
      <c r="C7" s="2" t="s">
        <v>19</v>
      </c>
      <c r="D7" s="2" t="str">
        <f t="shared" si="0"/>
        <v>Toko Cinta</v>
      </c>
      <c r="E7" s="2" t="s">
        <v>20</v>
      </c>
      <c r="F7" s="2" t="str">
        <f t="shared" si="1"/>
        <v>Kebaya Panjang</v>
      </c>
      <c r="G7" s="2">
        <v>630</v>
      </c>
      <c r="H7" s="5">
        <f t="shared" si="2"/>
        <v>250000</v>
      </c>
      <c r="I7" s="5">
        <f t="shared" si="3"/>
        <v>157500000</v>
      </c>
      <c r="J7" s="9">
        <f t="shared" si="4"/>
        <v>0.2</v>
      </c>
      <c r="K7" s="5">
        <f t="shared" si="5"/>
        <v>126000000</v>
      </c>
      <c r="M7" s="2" t="s">
        <v>16</v>
      </c>
      <c r="N7" s="2" t="s">
        <v>21</v>
      </c>
    </row>
    <row r="8" spans="1:26">
      <c r="A8" s="2">
        <v>4</v>
      </c>
      <c r="B8" s="3">
        <v>45659</v>
      </c>
      <c r="C8" s="2" t="s">
        <v>19</v>
      </c>
      <c r="D8" s="2" t="str">
        <f t="shared" si="0"/>
        <v>Toko Cinta</v>
      </c>
      <c r="E8" s="2" t="s">
        <v>22</v>
      </c>
      <c r="F8" s="2" t="str">
        <f t="shared" si="1"/>
        <v>Kebaya Pendek</v>
      </c>
      <c r="G8" s="2">
        <v>270</v>
      </c>
      <c r="H8" s="5">
        <f t="shared" si="2"/>
        <v>200000</v>
      </c>
      <c r="I8" s="5">
        <f t="shared" si="3"/>
        <v>54000000</v>
      </c>
      <c r="J8" s="9">
        <f t="shared" si="4"/>
        <v>0.1</v>
      </c>
      <c r="K8" s="5">
        <f t="shared" si="5"/>
        <v>48600000</v>
      </c>
      <c r="M8" s="2" t="s">
        <v>19</v>
      </c>
      <c r="N8" s="2" t="s">
        <v>23</v>
      </c>
    </row>
    <row r="9" spans="1:26">
      <c r="A9" s="2">
        <v>5</v>
      </c>
      <c r="B9" s="3">
        <v>45659</v>
      </c>
      <c r="C9" s="2" t="s">
        <v>16</v>
      </c>
      <c r="D9" s="2" t="str">
        <f t="shared" si="0"/>
        <v>Toko Andi</v>
      </c>
      <c r="E9" s="2" t="s">
        <v>13</v>
      </c>
      <c r="F9" s="2" t="str">
        <f t="shared" si="1"/>
        <v>Batik Pekalongan</v>
      </c>
      <c r="G9" s="2">
        <v>860</v>
      </c>
      <c r="H9" s="5">
        <f t="shared" si="2"/>
        <v>350000</v>
      </c>
      <c r="I9" s="5">
        <f t="shared" si="3"/>
        <v>301000000</v>
      </c>
      <c r="J9" s="9">
        <f t="shared" si="4"/>
        <v>0.2</v>
      </c>
      <c r="K9" s="5">
        <f t="shared" si="5"/>
        <v>240800000</v>
      </c>
    </row>
    <row r="10" spans="1:26">
      <c r="A10" s="2">
        <v>6</v>
      </c>
      <c r="B10" s="3">
        <v>45659</v>
      </c>
      <c r="C10" s="2" t="s">
        <v>12</v>
      </c>
      <c r="D10" s="2" t="str">
        <f t="shared" si="0"/>
        <v>Toko Nova</v>
      </c>
      <c r="E10" s="2" t="s">
        <v>17</v>
      </c>
      <c r="F10" s="2" t="str">
        <f t="shared" si="1"/>
        <v>Batik Bali</v>
      </c>
      <c r="G10" s="2">
        <v>670</v>
      </c>
      <c r="H10" s="5">
        <f t="shared" si="2"/>
        <v>450000</v>
      </c>
      <c r="I10" s="5">
        <f t="shared" si="3"/>
        <v>301500000</v>
      </c>
      <c r="J10" s="9">
        <f t="shared" si="4"/>
        <v>0.2</v>
      </c>
      <c r="K10" s="5">
        <f t="shared" si="5"/>
        <v>241200000</v>
      </c>
      <c r="M10" s="12" t="s">
        <v>5</v>
      </c>
      <c r="N10" s="14"/>
      <c r="O10" s="13"/>
    </row>
    <row r="11" spans="1:26">
      <c r="A11" s="2">
        <v>7</v>
      </c>
      <c r="B11" s="3">
        <v>45659</v>
      </c>
      <c r="C11" s="2" t="s">
        <v>16</v>
      </c>
      <c r="D11" s="2" t="str">
        <f t="shared" si="0"/>
        <v>Toko Andi</v>
      </c>
      <c r="E11" s="2" t="s">
        <v>20</v>
      </c>
      <c r="F11" s="2" t="str">
        <f t="shared" si="1"/>
        <v>Kebaya Panjang</v>
      </c>
      <c r="G11" s="2">
        <v>230</v>
      </c>
      <c r="H11" s="5">
        <f t="shared" si="2"/>
        <v>250000</v>
      </c>
      <c r="I11" s="5">
        <f t="shared" si="3"/>
        <v>57500000</v>
      </c>
      <c r="J11" s="9">
        <f t="shared" si="4"/>
        <v>0.1</v>
      </c>
      <c r="K11" s="5">
        <f t="shared" si="5"/>
        <v>51750000</v>
      </c>
      <c r="M11" s="6" t="s">
        <v>14</v>
      </c>
      <c r="N11" s="6" t="s">
        <v>15</v>
      </c>
      <c r="O11" s="6" t="s">
        <v>8</v>
      </c>
    </row>
    <row r="12" spans="1:26">
      <c r="A12" s="2">
        <v>8</v>
      </c>
      <c r="B12" s="3">
        <v>45659</v>
      </c>
      <c r="C12" s="2" t="s">
        <v>12</v>
      </c>
      <c r="D12" s="2" t="str">
        <f t="shared" si="0"/>
        <v>Toko Nova</v>
      </c>
      <c r="E12" s="2" t="s">
        <v>22</v>
      </c>
      <c r="F12" s="2" t="str">
        <f t="shared" si="1"/>
        <v>Kebaya Pendek</v>
      </c>
      <c r="G12" s="2">
        <v>690</v>
      </c>
      <c r="H12" s="5">
        <f t="shared" si="2"/>
        <v>200000</v>
      </c>
      <c r="I12" s="5">
        <f t="shared" si="3"/>
        <v>138000000</v>
      </c>
      <c r="J12" s="9">
        <f t="shared" si="4"/>
        <v>0.2</v>
      </c>
      <c r="K12" s="5">
        <f t="shared" si="5"/>
        <v>110400000</v>
      </c>
      <c r="M12" s="2" t="s">
        <v>13</v>
      </c>
      <c r="N12" s="2" t="s">
        <v>24</v>
      </c>
      <c r="O12" s="5">
        <v>350000</v>
      </c>
    </row>
    <row r="13" spans="1:26">
      <c r="A13" s="2">
        <v>9</v>
      </c>
      <c r="B13" s="3">
        <v>45659</v>
      </c>
      <c r="C13" s="2" t="s">
        <v>19</v>
      </c>
      <c r="D13" s="2" t="str">
        <f t="shared" si="0"/>
        <v>Toko Cinta</v>
      </c>
      <c r="E13" s="2" t="s">
        <v>13</v>
      </c>
      <c r="F13" s="2" t="str">
        <f t="shared" si="1"/>
        <v>Batik Pekalongan</v>
      </c>
      <c r="G13" s="2">
        <v>450</v>
      </c>
      <c r="H13" s="5">
        <f t="shared" si="2"/>
        <v>350000</v>
      </c>
      <c r="I13" s="5">
        <f t="shared" si="3"/>
        <v>157500000</v>
      </c>
      <c r="J13" s="9">
        <f t="shared" si="4"/>
        <v>0.1</v>
      </c>
      <c r="K13" s="5">
        <f t="shared" si="5"/>
        <v>141750000</v>
      </c>
      <c r="M13" s="2" t="s">
        <v>17</v>
      </c>
      <c r="N13" s="2" t="s">
        <v>25</v>
      </c>
      <c r="O13" s="5">
        <v>450000</v>
      </c>
    </row>
    <row r="14" spans="1:26">
      <c r="A14" s="2">
        <v>10</v>
      </c>
      <c r="B14" s="3">
        <v>45659</v>
      </c>
      <c r="C14" s="2" t="s">
        <v>16</v>
      </c>
      <c r="D14" s="2" t="str">
        <f t="shared" si="0"/>
        <v>Toko Andi</v>
      </c>
      <c r="E14" s="2" t="s">
        <v>17</v>
      </c>
      <c r="F14" s="2" t="str">
        <f t="shared" si="1"/>
        <v>Batik Bali</v>
      </c>
      <c r="G14" s="2">
        <v>110</v>
      </c>
      <c r="H14" s="5">
        <f t="shared" si="2"/>
        <v>450000</v>
      </c>
      <c r="I14" s="5">
        <f t="shared" si="3"/>
        <v>49500000</v>
      </c>
      <c r="J14" s="9">
        <f t="shared" si="4"/>
        <v>0</v>
      </c>
      <c r="K14" s="5">
        <f t="shared" si="5"/>
        <v>49500000</v>
      </c>
      <c r="M14" s="2" t="s">
        <v>20</v>
      </c>
      <c r="N14" s="2" t="s">
        <v>26</v>
      </c>
      <c r="O14" s="5">
        <v>250000</v>
      </c>
    </row>
    <row r="15" spans="1:26">
      <c r="A15" s="2">
        <v>11</v>
      </c>
      <c r="B15" s="3">
        <v>45660</v>
      </c>
      <c r="C15" s="2" t="s">
        <v>12</v>
      </c>
      <c r="D15" s="2" t="str">
        <f t="shared" si="0"/>
        <v>Toko Nova</v>
      </c>
      <c r="E15" s="2" t="s">
        <v>22</v>
      </c>
      <c r="F15" s="2" t="str">
        <f t="shared" si="1"/>
        <v>Kebaya Pendek</v>
      </c>
      <c r="G15" s="2">
        <v>280</v>
      </c>
      <c r="H15" s="5">
        <f t="shared" si="2"/>
        <v>200000</v>
      </c>
      <c r="I15" s="5">
        <f t="shared" si="3"/>
        <v>56000000</v>
      </c>
      <c r="J15" s="9">
        <f t="shared" si="4"/>
        <v>0.1</v>
      </c>
      <c r="K15" s="5">
        <f t="shared" si="5"/>
        <v>50400000</v>
      </c>
      <c r="M15" s="2" t="s">
        <v>22</v>
      </c>
      <c r="N15" s="2" t="s">
        <v>27</v>
      </c>
      <c r="O15" s="5">
        <v>200000</v>
      </c>
    </row>
    <row r="16" spans="1:26">
      <c r="A16" s="2">
        <v>12</v>
      </c>
      <c r="B16" s="3">
        <v>45660</v>
      </c>
      <c r="C16" s="2" t="s">
        <v>12</v>
      </c>
      <c r="D16" s="2" t="str">
        <f t="shared" si="0"/>
        <v>Toko Nova</v>
      </c>
      <c r="E16" s="2" t="s">
        <v>20</v>
      </c>
      <c r="F16" s="2" t="str">
        <f t="shared" si="1"/>
        <v>Kebaya Panjang</v>
      </c>
      <c r="G16" s="2">
        <v>190</v>
      </c>
      <c r="H16" s="5">
        <f t="shared" si="2"/>
        <v>250000</v>
      </c>
      <c r="I16" s="5">
        <f t="shared" si="3"/>
        <v>47500000</v>
      </c>
      <c r="J16" s="9">
        <f t="shared" si="4"/>
        <v>0</v>
      </c>
      <c r="K16" s="5">
        <f t="shared" si="5"/>
        <v>47500000</v>
      </c>
    </row>
    <row r="17" spans="1:11">
      <c r="A17" s="2">
        <v>13</v>
      </c>
      <c r="B17" s="3">
        <v>45660</v>
      </c>
      <c r="C17" s="2" t="s">
        <v>16</v>
      </c>
      <c r="D17" s="2" t="str">
        <f t="shared" si="0"/>
        <v>Toko Andi</v>
      </c>
      <c r="E17" s="2" t="s">
        <v>13</v>
      </c>
      <c r="F17" s="2" t="str">
        <f t="shared" si="1"/>
        <v>Batik Pekalongan</v>
      </c>
      <c r="G17" s="2">
        <v>270</v>
      </c>
      <c r="H17" s="5">
        <f t="shared" si="2"/>
        <v>350000</v>
      </c>
      <c r="I17" s="5">
        <f t="shared" si="3"/>
        <v>94500000</v>
      </c>
      <c r="J17" s="9">
        <f t="shared" si="4"/>
        <v>0.1</v>
      </c>
      <c r="K17" s="5">
        <f t="shared" si="5"/>
        <v>85050000</v>
      </c>
    </row>
    <row r="18" spans="1:11">
      <c r="A18" s="2">
        <v>14</v>
      </c>
      <c r="B18" s="3">
        <v>45660</v>
      </c>
      <c r="C18" s="2" t="s">
        <v>12</v>
      </c>
      <c r="D18" s="2" t="str">
        <f t="shared" si="0"/>
        <v>Toko Nova</v>
      </c>
      <c r="E18" s="2" t="s">
        <v>20</v>
      </c>
      <c r="F18" s="2" t="str">
        <f t="shared" si="1"/>
        <v>Kebaya Panjang</v>
      </c>
      <c r="G18" s="2">
        <v>780</v>
      </c>
      <c r="H18" s="5">
        <f t="shared" si="2"/>
        <v>250000</v>
      </c>
      <c r="I18" s="5">
        <f t="shared" si="3"/>
        <v>195000000</v>
      </c>
      <c r="J18" s="9">
        <f t="shared" si="4"/>
        <v>0.2</v>
      </c>
      <c r="K18" s="5">
        <f t="shared" si="5"/>
        <v>156000000</v>
      </c>
    </row>
    <row r="19" spans="1:11">
      <c r="A19" s="2">
        <v>15</v>
      </c>
      <c r="B19" s="3">
        <v>45660</v>
      </c>
      <c r="C19" s="2" t="s">
        <v>19</v>
      </c>
      <c r="D19" s="2" t="str">
        <f t="shared" si="0"/>
        <v>Toko Cinta</v>
      </c>
      <c r="E19" s="2" t="s">
        <v>22</v>
      </c>
      <c r="F19" s="2" t="str">
        <f t="shared" si="1"/>
        <v>Kebaya Pendek</v>
      </c>
      <c r="G19" s="2">
        <v>240</v>
      </c>
      <c r="H19" s="5">
        <f t="shared" si="2"/>
        <v>200000</v>
      </c>
      <c r="I19" s="5">
        <f t="shared" si="3"/>
        <v>48000000</v>
      </c>
      <c r="J19" s="9">
        <f t="shared" si="4"/>
        <v>0.1</v>
      </c>
      <c r="K19" s="5">
        <f t="shared" si="5"/>
        <v>43200000</v>
      </c>
    </row>
    <row r="20" spans="1:11">
      <c r="A20" s="22" t="s">
        <v>28</v>
      </c>
      <c r="B20" s="23"/>
      <c r="C20" s="23"/>
      <c r="D20" s="23"/>
      <c r="E20" s="23"/>
      <c r="F20" s="24"/>
      <c r="G20" s="6">
        <f>SUM(G5:G19)</f>
        <v>6170</v>
      </c>
      <c r="H20" s="7"/>
      <c r="I20" s="7"/>
      <c r="J20" s="7"/>
      <c r="K20" s="10">
        <f>SUM(K5:K19)</f>
        <v>1573950000</v>
      </c>
    </row>
    <row r="21" spans="1:11" ht="15.75" customHeight="1">
      <c r="A21" s="22" t="s">
        <v>29</v>
      </c>
      <c r="B21" s="23"/>
      <c r="C21" s="23"/>
      <c r="D21" s="23"/>
      <c r="E21" s="23"/>
      <c r="F21" s="24"/>
      <c r="G21" s="6">
        <f>G20/7</f>
        <v>881.42857142857144</v>
      </c>
      <c r="H21" s="7"/>
      <c r="I21" s="7"/>
      <c r="J21" s="7"/>
      <c r="K21" s="10">
        <f>K20/7</f>
        <v>224850000</v>
      </c>
    </row>
    <row r="22" spans="1:11" ht="15.75" customHeight="1"/>
    <row r="23" spans="1:11" ht="15.75" customHeight="1">
      <c r="A23" s="4" t="s">
        <v>30</v>
      </c>
    </row>
    <row r="24" spans="1:11" ht="15.75" customHeight="1">
      <c r="A24">
        <v>1</v>
      </c>
      <c r="B24" t="s">
        <v>31</v>
      </c>
    </row>
    <row r="25" spans="1:11" ht="15.75" customHeight="1">
      <c r="A25">
        <v>2</v>
      </c>
      <c r="B25" t="s">
        <v>32</v>
      </c>
    </row>
    <row r="26" spans="1:11" ht="15.75" customHeight="1">
      <c r="A26">
        <v>3</v>
      </c>
      <c r="B26" t="s">
        <v>33</v>
      </c>
    </row>
    <row r="27" spans="1:11" ht="15.75" customHeight="1">
      <c r="A27">
        <v>4</v>
      </c>
      <c r="B27" t="s">
        <v>34</v>
      </c>
    </row>
    <row r="28" spans="1:11" ht="15.75" customHeight="1">
      <c r="A28">
        <v>5</v>
      </c>
      <c r="B28" t="s">
        <v>35</v>
      </c>
    </row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M4:N4"/>
    <mergeCell ref="M10:O10"/>
    <mergeCell ref="A20:F20"/>
    <mergeCell ref="A21:F21"/>
    <mergeCell ref="A1:K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85" zoomScaleNormal="85" workbookViewId="0">
      <selection activeCell="J43" sqref="J43"/>
    </sheetView>
  </sheetViews>
  <sheetFormatPr defaultColWidth="14.42578125" defaultRowHeight="15" customHeight="1"/>
  <cols>
    <col min="1" max="1" width="5.42578125" customWidth="1"/>
    <col min="2" max="2" width="7.7109375" customWidth="1"/>
    <col min="3" max="3" width="15.28515625" customWidth="1"/>
    <col min="4" max="4" width="15.85546875" customWidth="1"/>
    <col min="5" max="5" width="12.28515625" customWidth="1"/>
    <col min="6" max="6" width="13.28515625" customWidth="1"/>
    <col min="7" max="7" width="7.28515625" customWidth="1"/>
    <col min="8" max="8" width="12.42578125" customWidth="1"/>
    <col min="9" max="9" width="14.85546875" customWidth="1"/>
    <col min="10" max="10" width="7" customWidth="1"/>
    <col min="11" max="11" width="16" customWidth="1"/>
    <col min="12" max="12" width="8.7109375" customWidth="1"/>
    <col min="13" max="13" width="11.5703125" customWidth="1"/>
    <col min="14" max="14" width="21.85546875" customWidth="1"/>
    <col min="15" max="15" width="15.140625" customWidth="1"/>
    <col min="16" max="26" width="8.7109375" customWidth="1"/>
  </cols>
  <sheetData>
    <row r="1" spans="1:26" ht="24.75" customHeight="1">
      <c r="A1" s="16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8"/>
      <c r="M1" s="11"/>
      <c r="N1" s="11"/>
      <c r="O1" s="11"/>
      <c r="P1" s="11"/>
      <c r="Q1" s="11"/>
    </row>
    <row r="2" spans="1:26" ht="24.75" customHeight="1">
      <c r="A2" s="19"/>
      <c r="B2" s="20"/>
      <c r="C2" s="20"/>
      <c r="D2" s="20"/>
      <c r="E2" s="20"/>
      <c r="F2" s="20"/>
      <c r="G2" s="20"/>
      <c r="H2" s="20"/>
      <c r="I2" s="20"/>
      <c r="J2" s="20"/>
      <c r="K2" s="21"/>
      <c r="M2" s="11"/>
      <c r="N2" s="11"/>
      <c r="O2" s="11"/>
      <c r="P2" s="11"/>
      <c r="Q2" s="11"/>
    </row>
    <row r="4" spans="1:2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8"/>
      <c r="M4" s="12" t="s">
        <v>3</v>
      </c>
      <c r="N4" s="1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">
        <v>1</v>
      </c>
      <c r="B5" s="3">
        <v>45658</v>
      </c>
      <c r="C5" s="2" t="s">
        <v>12</v>
      </c>
      <c r="D5" s="2" t="str">
        <f t="shared" ref="D5:D19" si="0">VLOOKUP(C5,$M$6:$N$8,2,0)</f>
        <v>Toko Nova</v>
      </c>
      <c r="E5" s="2" t="s">
        <v>13</v>
      </c>
      <c r="F5" s="2" t="str">
        <f t="shared" ref="F5:F19" si="1">VLOOKUP(E5,$M$12:$O$15,2,0)</f>
        <v>Batik Pekalongan</v>
      </c>
      <c r="G5" s="2">
        <v>320</v>
      </c>
      <c r="H5" s="5">
        <f t="shared" ref="H5:H19" si="2">VLOOKUP(E5,$M$12:$O$15,3,0)</f>
        <v>350000</v>
      </c>
      <c r="I5" s="5">
        <f t="shared" ref="I5:I19" si="3">G5*H5</f>
        <v>112000000</v>
      </c>
      <c r="J5" s="9">
        <f t="shared" ref="J5:J19" si="4">IF(G5&gt;500,20%,IF(G5&gt;200,10%,0))</f>
        <v>0.1</v>
      </c>
      <c r="K5" s="5">
        <f t="shared" ref="K5:K19" si="5">I5-(I5*J5)</f>
        <v>100800000</v>
      </c>
      <c r="M5" s="6" t="s">
        <v>14</v>
      </c>
      <c r="N5" s="6" t="s">
        <v>15</v>
      </c>
    </row>
    <row r="6" spans="1:26">
      <c r="A6" s="2">
        <v>2</v>
      </c>
      <c r="B6" s="3">
        <v>45658</v>
      </c>
      <c r="C6" s="2" t="s">
        <v>16</v>
      </c>
      <c r="D6" s="2" t="str">
        <f t="shared" si="0"/>
        <v>Toko Andi</v>
      </c>
      <c r="E6" s="2" t="s">
        <v>17</v>
      </c>
      <c r="F6" s="2" t="str">
        <f t="shared" si="1"/>
        <v>Batik Bali</v>
      </c>
      <c r="G6" s="2">
        <v>180</v>
      </c>
      <c r="H6" s="5">
        <f t="shared" si="2"/>
        <v>450000</v>
      </c>
      <c r="I6" s="5">
        <f t="shared" si="3"/>
        <v>81000000</v>
      </c>
      <c r="J6" s="9">
        <f t="shared" si="4"/>
        <v>0</v>
      </c>
      <c r="K6" s="5">
        <f t="shared" si="5"/>
        <v>81000000</v>
      </c>
      <c r="M6" s="2" t="s">
        <v>12</v>
      </c>
      <c r="N6" s="2" t="s">
        <v>18</v>
      </c>
    </row>
    <row r="7" spans="1:26">
      <c r="A7" s="2">
        <v>3</v>
      </c>
      <c r="B7" s="3">
        <v>45658</v>
      </c>
      <c r="C7" s="2" t="s">
        <v>19</v>
      </c>
      <c r="D7" s="2" t="str">
        <f t="shared" si="0"/>
        <v>Toko Cinta</v>
      </c>
      <c r="E7" s="2" t="s">
        <v>20</v>
      </c>
      <c r="F7" s="2" t="str">
        <f t="shared" si="1"/>
        <v>Kebaya Panjang</v>
      </c>
      <c r="G7" s="2">
        <v>630</v>
      </c>
      <c r="H7" s="5">
        <f t="shared" si="2"/>
        <v>250000</v>
      </c>
      <c r="I7" s="5">
        <f t="shared" si="3"/>
        <v>157500000</v>
      </c>
      <c r="J7" s="9">
        <f t="shared" si="4"/>
        <v>0.2</v>
      </c>
      <c r="K7" s="5">
        <f t="shared" si="5"/>
        <v>126000000</v>
      </c>
      <c r="M7" s="2" t="s">
        <v>16</v>
      </c>
      <c r="N7" s="2" t="s">
        <v>21</v>
      </c>
    </row>
    <row r="8" spans="1:26">
      <c r="A8" s="2">
        <v>4</v>
      </c>
      <c r="B8" s="3">
        <v>45659</v>
      </c>
      <c r="C8" s="2" t="s">
        <v>19</v>
      </c>
      <c r="D8" s="2" t="str">
        <f t="shared" si="0"/>
        <v>Toko Cinta</v>
      </c>
      <c r="E8" s="2" t="s">
        <v>22</v>
      </c>
      <c r="F8" s="2" t="str">
        <f t="shared" si="1"/>
        <v>Kebaya Pendek</v>
      </c>
      <c r="G8" s="2">
        <v>270</v>
      </c>
      <c r="H8" s="5">
        <f t="shared" si="2"/>
        <v>200000</v>
      </c>
      <c r="I8" s="5">
        <f t="shared" si="3"/>
        <v>54000000</v>
      </c>
      <c r="J8" s="9">
        <f t="shared" si="4"/>
        <v>0.1</v>
      </c>
      <c r="K8" s="5">
        <f t="shared" si="5"/>
        <v>48600000</v>
      </c>
      <c r="M8" s="2" t="s">
        <v>19</v>
      </c>
      <c r="N8" s="2" t="s">
        <v>23</v>
      </c>
    </row>
    <row r="9" spans="1:26">
      <c r="A9" s="2">
        <v>5</v>
      </c>
      <c r="B9" s="3">
        <v>45659</v>
      </c>
      <c r="C9" s="2" t="s">
        <v>16</v>
      </c>
      <c r="D9" s="2" t="str">
        <f t="shared" si="0"/>
        <v>Toko Andi</v>
      </c>
      <c r="E9" s="2" t="s">
        <v>13</v>
      </c>
      <c r="F9" s="2" t="str">
        <f t="shared" si="1"/>
        <v>Batik Pekalongan</v>
      </c>
      <c r="G9" s="2">
        <v>860</v>
      </c>
      <c r="H9" s="5">
        <f t="shared" si="2"/>
        <v>350000</v>
      </c>
      <c r="I9" s="5">
        <f t="shared" si="3"/>
        <v>301000000</v>
      </c>
      <c r="J9" s="9">
        <f t="shared" si="4"/>
        <v>0.2</v>
      </c>
      <c r="K9" s="5">
        <f t="shared" si="5"/>
        <v>240800000</v>
      </c>
    </row>
    <row r="10" spans="1:26">
      <c r="A10" s="2">
        <v>6</v>
      </c>
      <c r="B10" s="3">
        <v>45659</v>
      </c>
      <c r="C10" s="2" t="s">
        <v>12</v>
      </c>
      <c r="D10" s="2" t="str">
        <f t="shared" si="0"/>
        <v>Toko Nova</v>
      </c>
      <c r="E10" s="2" t="s">
        <v>17</v>
      </c>
      <c r="F10" s="2" t="str">
        <f t="shared" si="1"/>
        <v>Batik Bali</v>
      </c>
      <c r="G10" s="2">
        <v>670</v>
      </c>
      <c r="H10" s="5">
        <f t="shared" si="2"/>
        <v>450000</v>
      </c>
      <c r="I10" s="5">
        <f t="shared" si="3"/>
        <v>301500000</v>
      </c>
      <c r="J10" s="9">
        <f t="shared" si="4"/>
        <v>0.2</v>
      </c>
      <c r="K10" s="5">
        <f t="shared" si="5"/>
        <v>241200000</v>
      </c>
      <c r="M10" s="12" t="s">
        <v>5</v>
      </c>
      <c r="N10" s="14"/>
      <c r="O10" s="13"/>
    </row>
    <row r="11" spans="1:26">
      <c r="A11" s="2">
        <v>7</v>
      </c>
      <c r="B11" s="3">
        <v>45659</v>
      </c>
      <c r="C11" s="2" t="s">
        <v>16</v>
      </c>
      <c r="D11" s="2" t="str">
        <f t="shared" si="0"/>
        <v>Toko Andi</v>
      </c>
      <c r="E11" s="2" t="s">
        <v>20</v>
      </c>
      <c r="F11" s="2" t="str">
        <f t="shared" si="1"/>
        <v>Kebaya Panjang</v>
      </c>
      <c r="G11" s="2">
        <v>230</v>
      </c>
      <c r="H11" s="5">
        <f t="shared" si="2"/>
        <v>250000</v>
      </c>
      <c r="I11" s="5">
        <f t="shared" si="3"/>
        <v>57500000</v>
      </c>
      <c r="J11" s="9">
        <f t="shared" si="4"/>
        <v>0.1</v>
      </c>
      <c r="K11" s="5">
        <f t="shared" si="5"/>
        <v>51750000</v>
      </c>
      <c r="M11" s="6" t="s">
        <v>14</v>
      </c>
      <c r="N11" s="6" t="s">
        <v>15</v>
      </c>
      <c r="O11" s="6" t="s">
        <v>8</v>
      </c>
    </row>
    <row r="12" spans="1:26">
      <c r="A12" s="2">
        <v>8</v>
      </c>
      <c r="B12" s="3">
        <v>45659</v>
      </c>
      <c r="C12" s="2" t="s">
        <v>12</v>
      </c>
      <c r="D12" s="2" t="str">
        <f t="shared" si="0"/>
        <v>Toko Nova</v>
      </c>
      <c r="E12" s="2" t="s">
        <v>22</v>
      </c>
      <c r="F12" s="2" t="str">
        <f t="shared" si="1"/>
        <v>Kebaya Pendek</v>
      </c>
      <c r="G12" s="2">
        <v>690</v>
      </c>
      <c r="H12" s="5">
        <f t="shared" si="2"/>
        <v>200000</v>
      </c>
      <c r="I12" s="5">
        <f t="shared" si="3"/>
        <v>138000000</v>
      </c>
      <c r="J12" s="9">
        <f t="shared" si="4"/>
        <v>0.2</v>
      </c>
      <c r="K12" s="5">
        <f t="shared" si="5"/>
        <v>110400000</v>
      </c>
      <c r="M12" s="2" t="s">
        <v>13</v>
      </c>
      <c r="N12" s="2" t="s">
        <v>24</v>
      </c>
      <c r="O12" s="5">
        <v>350000</v>
      </c>
    </row>
    <row r="13" spans="1:26">
      <c r="A13" s="2">
        <v>9</v>
      </c>
      <c r="B13" s="3">
        <v>45659</v>
      </c>
      <c r="C13" s="2" t="s">
        <v>19</v>
      </c>
      <c r="D13" s="2" t="str">
        <f t="shared" si="0"/>
        <v>Toko Cinta</v>
      </c>
      <c r="E13" s="2" t="s">
        <v>13</v>
      </c>
      <c r="F13" s="2" t="str">
        <f t="shared" si="1"/>
        <v>Batik Pekalongan</v>
      </c>
      <c r="G13" s="2">
        <v>450</v>
      </c>
      <c r="H13" s="5">
        <f t="shared" si="2"/>
        <v>350000</v>
      </c>
      <c r="I13" s="5">
        <f t="shared" si="3"/>
        <v>157500000</v>
      </c>
      <c r="J13" s="9">
        <f t="shared" si="4"/>
        <v>0.1</v>
      </c>
      <c r="K13" s="5">
        <f t="shared" si="5"/>
        <v>141750000</v>
      </c>
      <c r="M13" s="2" t="s">
        <v>17</v>
      </c>
      <c r="N13" s="2" t="s">
        <v>25</v>
      </c>
      <c r="O13" s="5">
        <v>450000</v>
      </c>
    </row>
    <row r="14" spans="1:26">
      <c r="A14" s="2">
        <v>10</v>
      </c>
      <c r="B14" s="3">
        <v>45659</v>
      </c>
      <c r="C14" s="2" t="s">
        <v>16</v>
      </c>
      <c r="D14" s="2" t="str">
        <f t="shared" si="0"/>
        <v>Toko Andi</v>
      </c>
      <c r="E14" s="2" t="s">
        <v>17</v>
      </c>
      <c r="F14" s="2" t="str">
        <f t="shared" si="1"/>
        <v>Batik Bali</v>
      </c>
      <c r="G14" s="2">
        <v>110</v>
      </c>
      <c r="H14" s="5">
        <f t="shared" si="2"/>
        <v>450000</v>
      </c>
      <c r="I14" s="5">
        <f t="shared" si="3"/>
        <v>49500000</v>
      </c>
      <c r="J14" s="9">
        <f t="shared" si="4"/>
        <v>0</v>
      </c>
      <c r="K14" s="5">
        <f t="shared" si="5"/>
        <v>49500000</v>
      </c>
      <c r="M14" s="2" t="s">
        <v>20</v>
      </c>
      <c r="N14" s="2" t="s">
        <v>26</v>
      </c>
      <c r="O14" s="5">
        <v>250000</v>
      </c>
    </row>
    <row r="15" spans="1:26">
      <c r="A15" s="2">
        <v>11</v>
      </c>
      <c r="B15" s="3">
        <v>45660</v>
      </c>
      <c r="C15" s="2" t="s">
        <v>12</v>
      </c>
      <c r="D15" s="2" t="str">
        <f t="shared" si="0"/>
        <v>Toko Nova</v>
      </c>
      <c r="E15" s="2" t="s">
        <v>22</v>
      </c>
      <c r="F15" s="2" t="str">
        <f t="shared" si="1"/>
        <v>Kebaya Pendek</v>
      </c>
      <c r="G15" s="2">
        <v>280</v>
      </c>
      <c r="H15" s="5">
        <f t="shared" si="2"/>
        <v>200000</v>
      </c>
      <c r="I15" s="5">
        <f t="shared" si="3"/>
        <v>56000000</v>
      </c>
      <c r="J15" s="9">
        <f t="shared" si="4"/>
        <v>0.1</v>
      </c>
      <c r="K15" s="5">
        <f t="shared" si="5"/>
        <v>50400000</v>
      </c>
      <c r="M15" s="2" t="s">
        <v>22</v>
      </c>
      <c r="N15" s="2" t="s">
        <v>27</v>
      </c>
      <c r="O15" s="5">
        <v>200000</v>
      </c>
    </row>
    <row r="16" spans="1:26">
      <c r="A16" s="2">
        <v>12</v>
      </c>
      <c r="B16" s="3">
        <v>45660</v>
      </c>
      <c r="C16" s="2" t="s">
        <v>12</v>
      </c>
      <c r="D16" s="2" t="str">
        <f t="shared" si="0"/>
        <v>Toko Nova</v>
      </c>
      <c r="E16" s="2" t="s">
        <v>20</v>
      </c>
      <c r="F16" s="2" t="str">
        <f t="shared" si="1"/>
        <v>Kebaya Panjang</v>
      </c>
      <c r="G16" s="2">
        <v>190</v>
      </c>
      <c r="H16" s="5">
        <f t="shared" si="2"/>
        <v>250000</v>
      </c>
      <c r="I16" s="5">
        <f t="shared" si="3"/>
        <v>47500000</v>
      </c>
      <c r="J16" s="9">
        <f t="shared" si="4"/>
        <v>0</v>
      </c>
      <c r="K16" s="5">
        <f t="shared" si="5"/>
        <v>47500000</v>
      </c>
    </row>
    <row r="17" spans="1:11">
      <c r="A17" s="2">
        <v>13</v>
      </c>
      <c r="B17" s="3">
        <v>45660</v>
      </c>
      <c r="C17" s="2" t="s">
        <v>16</v>
      </c>
      <c r="D17" s="2" t="str">
        <f t="shared" si="0"/>
        <v>Toko Andi</v>
      </c>
      <c r="E17" s="2" t="s">
        <v>13</v>
      </c>
      <c r="F17" s="2" t="str">
        <f t="shared" si="1"/>
        <v>Batik Pekalongan</v>
      </c>
      <c r="G17" s="2">
        <v>270</v>
      </c>
      <c r="H17" s="5">
        <f t="shared" si="2"/>
        <v>350000</v>
      </c>
      <c r="I17" s="5">
        <f t="shared" si="3"/>
        <v>94500000</v>
      </c>
      <c r="J17" s="9">
        <f t="shared" si="4"/>
        <v>0.1</v>
      </c>
      <c r="K17" s="5">
        <f t="shared" si="5"/>
        <v>85050000</v>
      </c>
    </row>
    <row r="18" spans="1:11">
      <c r="A18" s="2">
        <v>14</v>
      </c>
      <c r="B18" s="3">
        <v>45660</v>
      </c>
      <c r="C18" s="2" t="s">
        <v>12</v>
      </c>
      <c r="D18" s="2" t="str">
        <f t="shared" si="0"/>
        <v>Toko Nova</v>
      </c>
      <c r="E18" s="2" t="s">
        <v>20</v>
      </c>
      <c r="F18" s="2" t="str">
        <f t="shared" si="1"/>
        <v>Kebaya Panjang</v>
      </c>
      <c r="G18" s="2">
        <v>780</v>
      </c>
      <c r="H18" s="5">
        <f t="shared" si="2"/>
        <v>250000</v>
      </c>
      <c r="I18" s="5">
        <f t="shared" si="3"/>
        <v>195000000</v>
      </c>
      <c r="J18" s="9">
        <f t="shared" si="4"/>
        <v>0.2</v>
      </c>
      <c r="K18" s="5">
        <f t="shared" si="5"/>
        <v>156000000</v>
      </c>
    </row>
    <row r="19" spans="1:11">
      <c r="A19" s="2">
        <v>15</v>
      </c>
      <c r="B19" s="3">
        <v>45660</v>
      </c>
      <c r="C19" s="2" t="s">
        <v>19</v>
      </c>
      <c r="D19" s="2" t="str">
        <f t="shared" si="0"/>
        <v>Toko Cinta</v>
      </c>
      <c r="E19" s="2" t="s">
        <v>22</v>
      </c>
      <c r="F19" s="2" t="str">
        <f t="shared" si="1"/>
        <v>Kebaya Pendek</v>
      </c>
      <c r="G19" s="2">
        <v>240</v>
      </c>
      <c r="H19" s="5">
        <f t="shared" si="2"/>
        <v>200000</v>
      </c>
      <c r="I19" s="5">
        <f t="shared" si="3"/>
        <v>48000000</v>
      </c>
      <c r="J19" s="9">
        <f t="shared" si="4"/>
        <v>0.1</v>
      </c>
      <c r="K19" s="5">
        <f t="shared" si="5"/>
        <v>43200000</v>
      </c>
    </row>
    <row r="20" spans="1:11">
      <c r="A20" s="15" t="s">
        <v>28</v>
      </c>
      <c r="B20" s="14"/>
      <c r="C20" s="14"/>
      <c r="D20" s="14"/>
      <c r="E20" s="14"/>
      <c r="F20" s="13"/>
      <c r="G20" s="6">
        <f>SUM(G5:G19)</f>
        <v>6170</v>
      </c>
      <c r="H20" s="7"/>
      <c r="I20" s="7"/>
      <c r="J20" s="7"/>
      <c r="K20" s="10">
        <f>SUM(K5:K19)</f>
        <v>1573950000</v>
      </c>
    </row>
    <row r="21" spans="1:11" ht="15.75" customHeight="1">
      <c r="A21" s="15" t="s">
        <v>29</v>
      </c>
      <c r="B21" s="14"/>
      <c r="C21" s="14"/>
      <c r="D21" s="14"/>
      <c r="E21" s="14"/>
      <c r="F21" s="13"/>
      <c r="G21" s="6">
        <f>G20/7</f>
        <v>881.42857142857099</v>
      </c>
      <c r="H21" s="7"/>
      <c r="I21" s="7"/>
      <c r="J21" s="7"/>
      <c r="K21" s="10">
        <f>K20/7</f>
        <v>224850000</v>
      </c>
    </row>
    <row r="22" spans="1:11" ht="15.75" customHeight="1"/>
    <row r="23" spans="1:11" ht="15.75" customHeight="1">
      <c r="A23" s="4" t="s">
        <v>30</v>
      </c>
    </row>
    <row r="24" spans="1:11" ht="15.75" customHeight="1">
      <c r="A24">
        <v>1</v>
      </c>
      <c r="B24" t="s">
        <v>31</v>
      </c>
    </row>
    <row r="25" spans="1:11" ht="15.75" customHeight="1">
      <c r="A25">
        <v>2</v>
      </c>
      <c r="B25" t="s">
        <v>32</v>
      </c>
    </row>
    <row r="26" spans="1:11" ht="15.75" customHeight="1">
      <c r="A26">
        <v>3</v>
      </c>
      <c r="B26" t="s">
        <v>33</v>
      </c>
    </row>
    <row r="27" spans="1:11" ht="15.75" customHeight="1">
      <c r="A27">
        <v>4</v>
      </c>
      <c r="B27" t="s">
        <v>34</v>
      </c>
    </row>
    <row r="28" spans="1:11" ht="15.75" customHeight="1">
      <c r="A28">
        <v>5</v>
      </c>
      <c r="B28" t="s">
        <v>35</v>
      </c>
    </row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M4:N4"/>
    <mergeCell ref="M10:O10"/>
    <mergeCell ref="A20:F20"/>
    <mergeCell ref="A21:F21"/>
    <mergeCell ref="A1:K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Jawaban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Sabita Hanun</cp:lastModifiedBy>
  <dcterms:created xsi:type="dcterms:W3CDTF">2006-09-16T08:00:00Z</dcterms:created>
  <dcterms:modified xsi:type="dcterms:W3CDTF">2026-09-28T10:48:19Z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36F48D882CBBF7CC484FE06966F6CF03_43</vt:lpwstr>
  </property>
  <property fmtid="{D5CDD505-2E9C-101B-9397-08002B2CF9AE}" pid="3" name="KSOProductBuildVer">
    <vt:lpwstr>1033-12.8.2.22595</vt:lpwstr>
  </property>
</Properties>
</file>